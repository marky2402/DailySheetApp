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b17855d7d3c5ac/Spreadsheets/Work/"/>
    </mc:Choice>
  </mc:AlternateContent>
  <xr:revisionPtr revIDLastSave="120" documentId="8_{B2A8CF54-6696-4592-A86A-A18BE814BACC}" xr6:coauthVersionLast="47" xr6:coauthVersionMax="47" xr10:uidLastSave="{B35AC38A-40B7-4EED-A2E8-2CCEFD2091CB}"/>
  <bookViews>
    <workbookView xWindow="-103" yWindow="-103" windowWidth="33120" windowHeight="18720" xr2:uid="{00000000-000D-0000-FFFF-FFFF00000000}"/>
  </bookViews>
  <sheets>
    <sheet name="Roster1" sheetId="43" r:id="rId1"/>
    <sheet name="Update" sheetId="27" r:id="rId2"/>
    <sheet name="Control" sheetId="26" r:id="rId3"/>
    <sheet name="Sunday Turns" sheetId="42" r:id="rId4"/>
    <sheet name="Monday Turns" sheetId="30" r:id="rId5"/>
    <sheet name="Tuesday Turns" sheetId="33" r:id="rId6"/>
    <sheet name="Wednesday Turns" sheetId="34" r:id="rId7"/>
    <sheet name="Thursday Turns" sheetId="35" r:id="rId8"/>
    <sheet name="Friday Turns" sheetId="36" r:id="rId9"/>
    <sheet name="Saturday Turns" sheetId="37" r:id="rId10"/>
    <sheet name="Drivers" sheetId="44" r:id="rId11"/>
  </sheets>
  <definedNames>
    <definedName name="_xlnm._FilterDatabase" localSheetId="1" hidden="1">Update!$A$1:$I$1</definedName>
    <definedName name="ADE" localSheetId="10">#REF!</definedName>
    <definedName name="ADE" localSheetId="0">#REF!</definedName>
    <definedName name="ADE" localSheetId="3">#REF!</definedName>
    <definedName name="ADE">Control!#REF!</definedName>
    <definedName name="Category" localSheetId="10">#REF!</definedName>
    <definedName name="Category" localSheetId="0">#REF!</definedName>
    <definedName name="Category" localSheetId="3">#REF!</definedName>
    <definedName name="Category">Control!#REF!</definedName>
    <definedName name="_xlnm.Print_Area" localSheetId="0">Roster1!$A$2:$AF$41</definedName>
    <definedName name="Upload" localSheetId="10">#REF!</definedName>
    <definedName name="Upload" localSheetId="0">#REF!</definedName>
    <definedName name="Upload" localSheetId="3">#REF!</definedName>
    <definedName name="Upload">Update!$A$1:$I$178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99" i="27" l="1"/>
  <c r="F10" i="27"/>
  <c r="G10" i="27"/>
  <c r="F11" i="27"/>
  <c r="G11" i="27"/>
  <c r="F12" i="27"/>
  <c r="G12" i="27"/>
  <c r="F13" i="27"/>
  <c r="G13" i="27"/>
  <c r="F14" i="27"/>
  <c r="G14" i="27"/>
  <c r="F15" i="27"/>
  <c r="G15" i="27"/>
  <c r="F16" i="27"/>
  <c r="G16" i="27"/>
  <c r="F17" i="27"/>
  <c r="G17" i="27"/>
  <c r="F18" i="27"/>
  <c r="G18" i="27"/>
  <c r="F19" i="27"/>
  <c r="G19" i="27"/>
  <c r="F20" i="27"/>
  <c r="G20" i="27"/>
  <c r="F21" i="27"/>
  <c r="G21" i="27"/>
  <c r="F22" i="27"/>
  <c r="G22" i="27"/>
  <c r="F23" i="27"/>
  <c r="G23" i="27"/>
  <c r="F24" i="27"/>
  <c r="G24" i="27"/>
  <c r="F25" i="27"/>
  <c r="G25" i="27"/>
  <c r="F26" i="27"/>
  <c r="G26" i="27"/>
  <c r="F27" i="27"/>
  <c r="G27" i="27"/>
  <c r="F28" i="27"/>
  <c r="G28" i="27"/>
  <c r="F29" i="27"/>
  <c r="G29" i="27"/>
  <c r="F30" i="27"/>
  <c r="G30" i="27"/>
  <c r="F31" i="27"/>
  <c r="G31" i="27"/>
  <c r="F32" i="27"/>
  <c r="G32" i="27"/>
  <c r="F33" i="27"/>
  <c r="G33" i="27"/>
  <c r="F34" i="27"/>
  <c r="G34" i="27"/>
  <c r="F35" i="27"/>
  <c r="G35" i="27"/>
  <c r="F36" i="27"/>
  <c r="G36" i="27"/>
  <c r="F37" i="27"/>
  <c r="G37" i="27"/>
  <c r="F38" i="27"/>
  <c r="G38" i="27"/>
  <c r="F39" i="27"/>
  <c r="G39" i="27"/>
  <c r="F40" i="27"/>
  <c r="G40" i="27"/>
  <c r="F41" i="27"/>
  <c r="G41" i="27"/>
  <c r="F42" i="27"/>
  <c r="G42" i="27"/>
  <c r="F43" i="27"/>
  <c r="G43" i="27"/>
  <c r="F44" i="27"/>
  <c r="G44" i="27"/>
  <c r="F45" i="27"/>
  <c r="G45" i="27"/>
  <c r="F46" i="27"/>
  <c r="G46" i="27"/>
  <c r="F47" i="27"/>
  <c r="G47" i="27"/>
  <c r="F48" i="27"/>
  <c r="G48" i="27"/>
  <c r="F49" i="27"/>
  <c r="G49" i="27"/>
  <c r="F50" i="27"/>
  <c r="G50" i="27"/>
  <c r="F51" i="27"/>
  <c r="G51" i="27"/>
  <c r="F52" i="27"/>
  <c r="G52" i="27"/>
  <c r="F53" i="27"/>
  <c r="G53" i="27"/>
  <c r="F54" i="27"/>
  <c r="G54" i="27"/>
  <c r="F55" i="27"/>
  <c r="G55" i="27"/>
  <c r="F56" i="27"/>
  <c r="G56" i="27"/>
  <c r="F57" i="27"/>
  <c r="G57" i="27"/>
  <c r="F58" i="27"/>
  <c r="G58" i="27"/>
  <c r="F59" i="27"/>
  <c r="G59" i="27"/>
  <c r="F60" i="27"/>
  <c r="G60" i="27"/>
  <c r="F61" i="27"/>
  <c r="G61" i="27"/>
  <c r="F62" i="27"/>
  <c r="G62" i="27"/>
  <c r="F63" i="27"/>
  <c r="G63" i="27"/>
  <c r="F64" i="27"/>
  <c r="G64" i="27"/>
  <c r="F65" i="27"/>
  <c r="G65" i="27"/>
  <c r="F66" i="27"/>
  <c r="G66" i="27"/>
  <c r="F67" i="27"/>
  <c r="G67" i="27"/>
  <c r="F68" i="27"/>
  <c r="G68" i="27"/>
  <c r="F69" i="27"/>
  <c r="G69" i="27"/>
  <c r="F70" i="27"/>
  <c r="G70" i="27"/>
  <c r="F71" i="27"/>
  <c r="G71" i="27"/>
  <c r="F72" i="27"/>
  <c r="G72" i="27"/>
  <c r="F73" i="27"/>
  <c r="G73" i="27"/>
  <c r="F74" i="27"/>
  <c r="G74" i="27"/>
  <c r="F75" i="27"/>
  <c r="G75" i="27"/>
  <c r="F76" i="27"/>
  <c r="G76" i="27"/>
  <c r="F77" i="27"/>
  <c r="G77" i="27"/>
  <c r="F78" i="27"/>
  <c r="G78" i="27"/>
  <c r="F79" i="27"/>
  <c r="G79" i="27"/>
  <c r="F80" i="27"/>
  <c r="G80" i="27"/>
  <c r="F81" i="27"/>
  <c r="G81" i="27"/>
  <c r="F82" i="27"/>
  <c r="G82" i="27"/>
  <c r="F83" i="27"/>
  <c r="G83" i="27"/>
  <c r="F84" i="27"/>
  <c r="G84" i="27"/>
  <c r="F85" i="27"/>
  <c r="G85" i="27"/>
  <c r="F86" i="27"/>
  <c r="G86" i="27"/>
  <c r="F87" i="27"/>
  <c r="G87" i="27"/>
  <c r="F88" i="27"/>
  <c r="G88" i="27"/>
  <c r="F89" i="27"/>
  <c r="G89" i="27"/>
  <c r="F90" i="27"/>
  <c r="G90" i="27"/>
  <c r="F91" i="27"/>
  <c r="G91" i="27"/>
  <c r="F92" i="27"/>
  <c r="G92" i="27"/>
  <c r="F93" i="27"/>
  <c r="G93" i="27"/>
  <c r="F94" i="27"/>
  <c r="G94" i="27"/>
  <c r="F95" i="27"/>
  <c r="G95" i="27"/>
  <c r="F96" i="27"/>
  <c r="G96" i="27"/>
  <c r="F97" i="27"/>
  <c r="G97" i="27"/>
  <c r="F98" i="27"/>
  <c r="G98" i="27"/>
  <c r="F99" i="27"/>
  <c r="G99" i="27"/>
  <c r="F100" i="27"/>
  <c r="G100" i="27"/>
  <c r="F101" i="27"/>
  <c r="G101" i="27"/>
  <c r="F102" i="27"/>
  <c r="G102" i="27"/>
  <c r="F103" i="27"/>
  <c r="G103" i="27"/>
  <c r="F104" i="27"/>
  <c r="G104" i="27"/>
  <c r="F105" i="27"/>
  <c r="G105" i="27"/>
  <c r="F106" i="27"/>
  <c r="G106" i="27"/>
  <c r="F107" i="27"/>
  <c r="G107" i="27"/>
  <c r="F108" i="27"/>
  <c r="G108" i="27"/>
  <c r="F109" i="27"/>
  <c r="G109" i="27"/>
  <c r="F110" i="27"/>
  <c r="G110" i="27"/>
  <c r="F111" i="27"/>
  <c r="G111" i="27"/>
  <c r="F112" i="27"/>
  <c r="G112" i="27"/>
  <c r="F113" i="27"/>
  <c r="G113" i="27"/>
  <c r="F114" i="27"/>
  <c r="G114" i="27"/>
  <c r="F115" i="27"/>
  <c r="G115" i="27"/>
  <c r="F116" i="27"/>
  <c r="G116" i="27"/>
  <c r="F117" i="27"/>
  <c r="G117" i="27"/>
  <c r="F118" i="27"/>
  <c r="G118" i="27"/>
  <c r="F119" i="27"/>
  <c r="G119" i="27"/>
  <c r="F120" i="27"/>
  <c r="G120" i="27"/>
  <c r="F121" i="27"/>
  <c r="G121" i="27"/>
  <c r="F122" i="27"/>
  <c r="G122" i="27"/>
  <c r="F123" i="27"/>
  <c r="G123" i="27"/>
  <c r="F124" i="27"/>
  <c r="G124" i="27"/>
  <c r="F125" i="27"/>
  <c r="G125" i="27"/>
  <c r="F126" i="27"/>
  <c r="G126" i="27"/>
  <c r="F127" i="27"/>
  <c r="G127" i="27"/>
  <c r="F128" i="27"/>
  <c r="G128" i="27"/>
  <c r="F129" i="27"/>
  <c r="G129" i="27"/>
  <c r="F130" i="27"/>
  <c r="G130" i="27"/>
  <c r="F131" i="27"/>
  <c r="G131" i="27"/>
  <c r="F132" i="27"/>
  <c r="G132" i="27"/>
  <c r="F133" i="27"/>
  <c r="G133" i="27"/>
  <c r="F134" i="27"/>
  <c r="G134" i="27"/>
  <c r="F135" i="27"/>
  <c r="G135" i="27"/>
  <c r="F136" i="27"/>
  <c r="G136" i="27"/>
  <c r="F137" i="27"/>
  <c r="G137" i="27"/>
  <c r="F138" i="27"/>
  <c r="G138" i="27"/>
  <c r="F139" i="27"/>
  <c r="G139" i="27"/>
  <c r="F140" i="27"/>
  <c r="G140" i="27"/>
  <c r="F141" i="27"/>
  <c r="G141" i="27"/>
  <c r="F142" i="27"/>
  <c r="G142" i="27"/>
  <c r="F143" i="27"/>
  <c r="G143" i="27"/>
  <c r="F144" i="27"/>
  <c r="G144" i="27"/>
  <c r="F145" i="27"/>
  <c r="G145" i="27"/>
  <c r="F146" i="27"/>
  <c r="G146" i="27"/>
  <c r="F147" i="27"/>
  <c r="G147" i="27"/>
  <c r="F148" i="27"/>
  <c r="G148" i="27"/>
  <c r="F149" i="27"/>
  <c r="G149" i="27"/>
  <c r="F150" i="27"/>
  <c r="G150" i="27"/>
  <c r="F151" i="27"/>
  <c r="G151" i="27"/>
  <c r="F152" i="27"/>
  <c r="G152" i="27"/>
  <c r="F153" i="27"/>
  <c r="G153" i="27"/>
  <c r="F154" i="27"/>
  <c r="G154" i="27"/>
  <c r="F155" i="27"/>
  <c r="G155" i="27"/>
  <c r="F156" i="27"/>
  <c r="G156" i="27"/>
  <c r="F157" i="27"/>
  <c r="G157" i="27"/>
  <c r="F158" i="27"/>
  <c r="G158" i="27"/>
  <c r="F159" i="27"/>
  <c r="G159" i="27"/>
  <c r="F160" i="27"/>
  <c r="G160" i="27"/>
  <c r="F161" i="27"/>
  <c r="G161" i="27"/>
  <c r="F162" i="27"/>
  <c r="G162" i="27"/>
  <c r="F163" i="27"/>
  <c r="G163" i="27"/>
  <c r="F164" i="27"/>
  <c r="G164" i="27"/>
  <c r="F165" i="27"/>
  <c r="G165" i="27"/>
  <c r="F166" i="27"/>
  <c r="G166" i="27"/>
  <c r="F167" i="27"/>
  <c r="G167" i="27"/>
  <c r="F168" i="27"/>
  <c r="G168" i="27"/>
  <c r="F169" i="27"/>
  <c r="G169" i="27"/>
  <c r="F170" i="27"/>
  <c r="G170" i="27"/>
  <c r="F171" i="27"/>
  <c r="G171" i="27"/>
  <c r="F172" i="27"/>
  <c r="G172" i="27"/>
  <c r="F173" i="27"/>
  <c r="G173" i="27"/>
  <c r="F174" i="27"/>
  <c r="G174" i="27"/>
  <c r="F175" i="27"/>
  <c r="G175" i="27"/>
  <c r="F176" i="27"/>
  <c r="G176" i="27"/>
  <c r="F177" i="27"/>
  <c r="G177" i="27"/>
  <c r="F178" i="27"/>
  <c r="G178" i="27"/>
  <c r="F179" i="27"/>
  <c r="G179" i="27"/>
  <c r="F180" i="27"/>
  <c r="G180" i="27"/>
  <c r="F181" i="27"/>
  <c r="G181" i="27"/>
  <c r="F182" i="27"/>
  <c r="G182" i="27"/>
  <c r="F183" i="27"/>
  <c r="G183" i="27"/>
  <c r="F184" i="27"/>
  <c r="G184" i="27"/>
  <c r="F185" i="27"/>
  <c r="G185" i="27"/>
  <c r="F186" i="27"/>
  <c r="G186" i="27"/>
  <c r="F187" i="27"/>
  <c r="G187" i="27"/>
  <c r="F188" i="27"/>
  <c r="G188" i="27"/>
  <c r="F189" i="27"/>
  <c r="G189" i="27"/>
  <c r="F190" i="27"/>
  <c r="G190" i="27"/>
  <c r="F191" i="27"/>
  <c r="G191" i="27"/>
  <c r="F192" i="27"/>
  <c r="G192" i="27"/>
  <c r="F193" i="27"/>
  <c r="G193" i="27"/>
  <c r="F194" i="27"/>
  <c r="G194" i="27"/>
  <c r="F195" i="27"/>
  <c r="G195" i="27"/>
  <c r="F196" i="27"/>
  <c r="G196" i="27"/>
  <c r="F197" i="27"/>
  <c r="G197" i="27"/>
  <c r="F198" i="27"/>
  <c r="G198" i="27"/>
  <c r="F199" i="27"/>
  <c r="F200" i="27"/>
  <c r="G200" i="27"/>
  <c r="F201" i="27"/>
  <c r="G201" i="27"/>
  <c r="F202" i="27"/>
  <c r="G202" i="27"/>
  <c r="F203" i="27"/>
  <c r="G203" i="27"/>
  <c r="F204" i="27"/>
  <c r="G204" i="27"/>
  <c r="F205" i="27"/>
  <c r="G205" i="27"/>
  <c r="F206" i="27"/>
  <c r="G206" i="27"/>
  <c r="F207" i="27"/>
  <c r="G207" i="27"/>
  <c r="F208" i="27"/>
  <c r="G208" i="27"/>
  <c r="F209" i="27"/>
  <c r="G209" i="27"/>
  <c r="F210" i="27"/>
  <c r="G210" i="27"/>
  <c r="F211" i="27"/>
  <c r="G211" i="27"/>
  <c r="F212" i="27"/>
  <c r="G212" i="27"/>
  <c r="F213" i="27"/>
  <c r="G213" i="27"/>
  <c r="F214" i="27"/>
  <c r="G214" i="27"/>
  <c r="F215" i="27"/>
  <c r="G215" i="27"/>
  <c r="F216" i="27"/>
  <c r="G216" i="27"/>
  <c r="F217" i="27"/>
  <c r="G217" i="27"/>
  <c r="F218" i="27"/>
  <c r="G218" i="27"/>
  <c r="F219" i="27"/>
  <c r="G219" i="27"/>
  <c r="F220" i="27"/>
  <c r="G220" i="27"/>
  <c r="F221" i="27"/>
  <c r="G221" i="27"/>
  <c r="F222" i="27"/>
  <c r="G222" i="27"/>
  <c r="F223" i="27"/>
  <c r="G223" i="27"/>
  <c r="F224" i="27"/>
  <c r="G224" i="27"/>
  <c r="F225" i="27"/>
  <c r="G225" i="27"/>
  <c r="F226" i="27"/>
  <c r="G226" i="27"/>
  <c r="F227" i="27"/>
  <c r="G227" i="27"/>
  <c r="F228" i="27"/>
  <c r="G228" i="27"/>
  <c r="F229" i="27"/>
  <c r="G229" i="27"/>
  <c r="F230" i="27"/>
  <c r="G230" i="27"/>
  <c r="F231" i="27"/>
  <c r="G231" i="27"/>
  <c r="F232" i="27"/>
  <c r="G232" i="27"/>
  <c r="A10" i="27"/>
  <c r="A11" i="27"/>
  <c r="A12" i="27"/>
  <c r="A13" i="27"/>
  <c r="A14" i="27"/>
  <c r="A15" i="27"/>
  <c r="A16" i="27"/>
  <c r="A17" i="27"/>
  <c r="A18" i="27"/>
  <c r="A19" i="27"/>
  <c r="A20" i="27"/>
  <c r="A21" i="27"/>
  <c r="A22" i="27"/>
  <c r="A23" i="27"/>
  <c r="A24" i="27"/>
  <c r="A25" i="27"/>
  <c r="A26" i="27"/>
  <c r="A27" i="27"/>
  <c r="A28" i="27"/>
  <c r="A29" i="27"/>
  <c r="A30" i="27"/>
  <c r="A31" i="27"/>
  <c r="A32" i="27"/>
  <c r="A33" i="27"/>
  <c r="A34" i="27"/>
  <c r="A35" i="27"/>
  <c r="A36" i="27"/>
  <c r="A37" i="27"/>
  <c r="A38" i="27"/>
  <c r="A39" i="27"/>
  <c r="A40" i="27"/>
  <c r="A41" i="27"/>
  <c r="A42" i="27"/>
  <c r="A43" i="27"/>
  <c r="A44" i="27"/>
  <c r="A45" i="27"/>
  <c r="A46" i="27"/>
  <c r="A47" i="27"/>
  <c r="A48" i="27"/>
  <c r="A49" i="27"/>
  <c r="A50" i="27"/>
  <c r="A51" i="27"/>
  <c r="A52" i="27"/>
  <c r="A53" i="27"/>
  <c r="A54" i="27"/>
  <c r="A55" i="27"/>
  <c r="A56" i="27"/>
  <c r="A57" i="27"/>
  <c r="A58" i="27"/>
  <c r="A59" i="27"/>
  <c r="A60" i="27"/>
  <c r="A61" i="27"/>
  <c r="A62" i="27"/>
  <c r="A63" i="27"/>
  <c r="A64" i="27"/>
  <c r="A65" i="27"/>
  <c r="A66" i="27"/>
  <c r="A67" i="27"/>
  <c r="A68" i="27"/>
  <c r="A69" i="27"/>
  <c r="A70" i="27"/>
  <c r="A71" i="27"/>
  <c r="A72" i="27"/>
  <c r="A73" i="27"/>
  <c r="A74" i="27"/>
  <c r="A75" i="27"/>
  <c r="A76" i="27"/>
  <c r="A77" i="27"/>
  <c r="A78" i="27"/>
  <c r="A79" i="27"/>
  <c r="A80" i="27"/>
  <c r="A81" i="27"/>
  <c r="A82" i="27"/>
  <c r="A83" i="27"/>
  <c r="A84" i="27"/>
  <c r="A85" i="27"/>
  <c r="A86" i="27"/>
  <c r="A87" i="27"/>
  <c r="A88" i="27"/>
  <c r="A89" i="27"/>
  <c r="A90" i="27"/>
  <c r="A91" i="27"/>
  <c r="A92" i="27"/>
  <c r="A93" i="27"/>
  <c r="A94" i="27"/>
  <c r="A95" i="27"/>
  <c r="A96" i="27"/>
  <c r="A97" i="27"/>
  <c r="A98" i="27"/>
  <c r="A99" i="27"/>
  <c r="A100" i="27"/>
  <c r="A101" i="27"/>
  <c r="A102" i="27"/>
  <c r="A103" i="27"/>
  <c r="A104" i="27"/>
  <c r="A105" i="27"/>
  <c r="A106" i="27"/>
  <c r="A107" i="27"/>
  <c r="A108" i="27"/>
  <c r="A109" i="27"/>
  <c r="A110" i="27"/>
  <c r="A111" i="27"/>
  <c r="A112" i="27"/>
  <c r="A113" i="27"/>
  <c r="A114" i="27"/>
  <c r="A115" i="27"/>
  <c r="A116" i="27"/>
  <c r="A117" i="27"/>
  <c r="A118" i="27"/>
  <c r="A119" i="27"/>
  <c r="A120" i="27"/>
  <c r="A121" i="27"/>
  <c r="A122" i="27"/>
  <c r="A123" i="27"/>
  <c r="A124" i="27"/>
  <c r="A125" i="27"/>
  <c r="A126" i="27"/>
  <c r="A127" i="27"/>
  <c r="A128" i="27"/>
  <c r="A129" i="27"/>
  <c r="A130" i="27"/>
  <c r="A131" i="27"/>
  <c r="A132" i="27"/>
  <c r="A133" i="27"/>
  <c r="A134" i="27"/>
  <c r="A135" i="27"/>
  <c r="A136" i="27"/>
  <c r="A137" i="27"/>
  <c r="A138" i="27"/>
  <c r="A139" i="27"/>
  <c r="A140" i="27"/>
  <c r="A141" i="27"/>
  <c r="A142" i="27"/>
  <c r="A143" i="27"/>
  <c r="A144" i="27"/>
  <c r="A145" i="27"/>
  <c r="A146" i="27"/>
  <c r="A147" i="27"/>
  <c r="A148" i="27"/>
  <c r="A149" i="27"/>
  <c r="A150" i="27"/>
  <c r="A151" i="27"/>
  <c r="A152" i="27"/>
  <c r="A153" i="27"/>
  <c r="A154" i="27"/>
  <c r="A155" i="27"/>
  <c r="A156" i="27"/>
  <c r="A157" i="27"/>
  <c r="A158" i="27"/>
  <c r="A159" i="27"/>
  <c r="A160" i="27"/>
  <c r="A161" i="27"/>
  <c r="A162" i="27"/>
  <c r="A163" i="27"/>
  <c r="A164" i="27"/>
  <c r="A165" i="27"/>
  <c r="A166" i="27"/>
  <c r="A167" i="27"/>
  <c r="A168" i="27"/>
  <c r="A169" i="27"/>
  <c r="A170" i="27"/>
  <c r="A171" i="27"/>
  <c r="A172" i="27"/>
  <c r="A173" i="27"/>
  <c r="A174" i="27"/>
  <c r="A175" i="27"/>
  <c r="A176" i="27"/>
  <c r="A177" i="27"/>
  <c r="A178" i="27"/>
  <c r="A179" i="27"/>
  <c r="A180" i="27"/>
  <c r="A181" i="27"/>
  <c r="A182" i="27"/>
  <c r="A183" i="27"/>
  <c r="A184" i="27"/>
  <c r="A185" i="27"/>
  <c r="A186" i="27"/>
  <c r="A187" i="27"/>
  <c r="A188" i="27"/>
  <c r="A189" i="27"/>
  <c r="A190" i="27"/>
  <c r="A191" i="27"/>
  <c r="A192" i="27"/>
  <c r="A193" i="27"/>
  <c r="A194" i="27"/>
  <c r="A195" i="27"/>
  <c r="A196" i="27"/>
  <c r="A197" i="27"/>
  <c r="A198" i="27"/>
  <c r="A199" i="27"/>
  <c r="A200" i="27"/>
  <c r="A201" i="27"/>
  <c r="A202" i="27"/>
  <c r="A203" i="27"/>
  <c r="A204" i="27"/>
  <c r="A205" i="27"/>
  <c r="A206" i="27"/>
  <c r="A207" i="27"/>
  <c r="A208" i="27"/>
  <c r="A209" i="27"/>
  <c r="A210" i="27"/>
  <c r="A211" i="27"/>
  <c r="A212" i="27"/>
  <c r="A213" i="27"/>
  <c r="A214" i="27"/>
  <c r="A215" i="27"/>
  <c r="A216" i="27"/>
  <c r="A217" i="27"/>
  <c r="A218" i="27"/>
  <c r="A219" i="27"/>
  <c r="A220" i="27"/>
  <c r="A221" i="27"/>
  <c r="A222" i="27"/>
  <c r="A223" i="27"/>
  <c r="A224" i="27"/>
  <c r="A225" i="27"/>
  <c r="A226" i="27"/>
  <c r="A227" i="27"/>
  <c r="A228" i="27"/>
  <c r="A229" i="27"/>
  <c r="A230" i="27"/>
  <c r="A231" i="27"/>
  <c r="A232" i="27"/>
  <c r="G9" i="27"/>
  <c r="F9" i="27"/>
  <c r="A9" i="27"/>
  <c r="G3" i="27"/>
  <c r="G4" i="27"/>
  <c r="G5" i="27"/>
  <c r="G6" i="27"/>
  <c r="G7" i="27"/>
  <c r="G8" i="27"/>
  <c r="F3" i="27"/>
  <c r="F4" i="27"/>
  <c r="F5" i="27"/>
  <c r="F6" i="27"/>
  <c r="F7" i="27"/>
  <c r="F8" i="27"/>
  <c r="G2" i="27"/>
  <c r="F2" i="27"/>
  <c r="A3" i="27"/>
  <c r="A4" i="27"/>
  <c r="A5" i="27"/>
  <c r="A6" i="27"/>
  <c r="A7" i="27"/>
  <c r="A8" i="27"/>
  <c r="A2" i="27"/>
  <c r="AF27" i="43"/>
  <c r="AB36" i="43"/>
  <c r="AB30" i="43"/>
  <c r="AB26" i="43"/>
  <c r="AF21" i="43"/>
  <c r="AB21" i="43"/>
  <c r="AB11" i="43"/>
  <c r="Z10" i="43"/>
  <c r="AB10" i="43" s="1"/>
  <c r="Y10" i="43"/>
  <c r="AB25" i="43"/>
  <c r="X25" i="43"/>
  <c r="X21" i="43"/>
  <c r="X19" i="43"/>
  <c r="T25" i="43"/>
  <c r="T24" i="43"/>
  <c r="T19" i="43"/>
  <c r="T15" i="43"/>
  <c r="P33" i="43"/>
  <c r="P29" i="43"/>
  <c r="P19" i="43"/>
  <c r="L37" i="43"/>
  <c r="L36" i="43"/>
  <c r="L28" i="43"/>
  <c r="E37" i="43"/>
  <c r="F37" i="43"/>
  <c r="H37" i="43" s="1"/>
  <c r="F36" i="43"/>
  <c r="H36" i="43" s="1"/>
  <c r="E36" i="43"/>
  <c r="H28" i="43"/>
  <c r="H9" i="43"/>
  <c r="B25" i="43"/>
  <c r="B40" i="43"/>
  <c r="X31" i="43"/>
  <c r="R39" i="43"/>
  <c r="Q39" i="43"/>
  <c r="T22" i="43"/>
  <c r="J17" i="43"/>
  <c r="I17" i="43"/>
  <c r="L12" i="43"/>
  <c r="F32" i="43"/>
  <c r="E32" i="43"/>
  <c r="F27" i="43"/>
  <c r="E27" i="43"/>
  <c r="F17" i="43"/>
  <c r="E17" i="43"/>
  <c r="F13" i="43"/>
  <c r="E13" i="43"/>
  <c r="F12" i="43"/>
  <c r="E12" i="43"/>
  <c r="F8" i="43"/>
  <c r="E8" i="43"/>
  <c r="X23" i="43"/>
  <c r="D232" i="27"/>
  <c r="D229" i="27"/>
  <c r="D230" i="27"/>
  <c r="D231" i="27"/>
  <c r="D222" i="27"/>
  <c r="D223" i="27"/>
  <c r="D224" i="27"/>
  <c r="D225" i="27"/>
  <c r="D226" i="27"/>
  <c r="D227" i="27"/>
  <c r="D228" i="27"/>
  <c r="D212" i="27"/>
  <c r="D213" i="27"/>
  <c r="D214" i="27"/>
  <c r="D215" i="27"/>
  <c r="D216" i="27"/>
  <c r="D217" i="27"/>
  <c r="D218" i="27"/>
  <c r="D219" i="27"/>
  <c r="D220" i="27"/>
  <c r="D221" i="27"/>
  <c r="AD40" i="43"/>
  <c r="AC40" i="43"/>
  <c r="AD35" i="43"/>
  <c r="AC35" i="43"/>
  <c r="AD32" i="43"/>
  <c r="AC32" i="43"/>
  <c r="AD30" i="43"/>
  <c r="AC30" i="43"/>
  <c r="AD26" i="43"/>
  <c r="AC26" i="43"/>
  <c r="AD20" i="43"/>
  <c r="AC20" i="43"/>
  <c r="AD15" i="43"/>
  <c r="AC15" i="43"/>
  <c r="AD13" i="43"/>
  <c r="AC13" i="43"/>
  <c r="AD10" i="43"/>
  <c r="AC10" i="43"/>
  <c r="Z35" i="43"/>
  <c r="Y35" i="43"/>
  <c r="Z34" i="43"/>
  <c r="Y34" i="43"/>
  <c r="Z27" i="43"/>
  <c r="Y27" i="43"/>
  <c r="Z24" i="43"/>
  <c r="Y24" i="43"/>
  <c r="Z20" i="43"/>
  <c r="Y20" i="43"/>
  <c r="Z19" i="43"/>
  <c r="Y19" i="43"/>
  <c r="Y15" i="43"/>
  <c r="Z15" i="43"/>
  <c r="Z16" i="43"/>
  <c r="Y16" i="43"/>
  <c r="AB40" i="43"/>
  <c r="V39" i="43"/>
  <c r="U39" i="43"/>
  <c r="V24" i="43"/>
  <c r="U24" i="43"/>
  <c r="V16" i="43"/>
  <c r="U16" i="43"/>
  <c r="V35" i="43"/>
  <c r="U35" i="43"/>
  <c r="V34" i="43"/>
  <c r="U34" i="43"/>
  <c r="V29" i="43"/>
  <c r="U29" i="43"/>
  <c r="V22" i="43"/>
  <c r="U22" i="43"/>
  <c r="V11" i="43"/>
  <c r="U11" i="43"/>
  <c r="V9" i="43"/>
  <c r="U9" i="43"/>
  <c r="Q38" i="43"/>
  <c r="R38" i="43"/>
  <c r="R34" i="43"/>
  <c r="Q34" i="43"/>
  <c r="R37" i="43"/>
  <c r="Q37" i="43"/>
  <c r="R33" i="43"/>
  <c r="Q33" i="43"/>
  <c r="R30" i="43"/>
  <c r="Q30" i="43"/>
  <c r="R29" i="43"/>
  <c r="Q29" i="43"/>
  <c r="R21" i="43"/>
  <c r="Q21" i="43"/>
  <c r="R18" i="43"/>
  <c r="Q18" i="43"/>
  <c r="T9" i="43"/>
  <c r="P39" i="43"/>
  <c r="M38" i="43"/>
  <c r="N38" i="43"/>
  <c r="N37" i="43"/>
  <c r="M37" i="43"/>
  <c r="P14" i="43"/>
  <c r="N30" i="43"/>
  <c r="M30" i="43"/>
  <c r="N28" i="43"/>
  <c r="M28" i="43"/>
  <c r="N25" i="43"/>
  <c r="M25" i="43"/>
  <c r="N18" i="43"/>
  <c r="M18" i="43"/>
  <c r="M15" i="43"/>
  <c r="N15" i="43"/>
  <c r="N13" i="43"/>
  <c r="M13" i="43"/>
  <c r="P9" i="43"/>
  <c r="N8" i="43"/>
  <c r="M8" i="43"/>
  <c r="L38" i="43"/>
  <c r="L39" i="43"/>
  <c r="L34" i="43"/>
  <c r="I24" i="43"/>
  <c r="J24" i="43"/>
  <c r="I10" i="43"/>
  <c r="J10" i="43"/>
  <c r="H39" i="43"/>
  <c r="H38" i="43"/>
  <c r="B1" i="44"/>
  <c r="C1" i="44" s="1"/>
  <c r="D1" i="44" s="1"/>
  <c r="AF36" i="43"/>
  <c r="AF31" i="43"/>
  <c r="AF28" i="43"/>
  <c r="AF17" i="43"/>
  <c r="AF16" i="43"/>
  <c r="AF12" i="43"/>
  <c r="AF11" i="43"/>
  <c r="AB31" i="43"/>
  <c r="AB17" i="43"/>
  <c r="AB12" i="43"/>
  <c r="T26" i="43"/>
  <c r="T20" i="43"/>
  <c r="I13" i="43"/>
  <c r="J13" i="43"/>
  <c r="H18" i="43"/>
  <c r="D211" i="27"/>
  <c r="D207" i="27"/>
  <c r="D208" i="27"/>
  <c r="D209" i="27"/>
  <c r="D210" i="27"/>
  <c r="D193" i="27"/>
  <c r="D194" i="27"/>
  <c r="D195" i="27"/>
  <c r="D196" i="27"/>
  <c r="D197" i="27"/>
  <c r="D198" i="27"/>
  <c r="D199" i="27"/>
  <c r="D200" i="27"/>
  <c r="D201" i="27"/>
  <c r="D202" i="27"/>
  <c r="D203" i="27"/>
  <c r="D204" i="27"/>
  <c r="D205" i="27"/>
  <c r="D206" i="27"/>
  <c r="D162" i="27"/>
  <c r="D163" i="27"/>
  <c r="D164" i="27"/>
  <c r="D165" i="27"/>
  <c r="D166" i="27"/>
  <c r="D167" i="27"/>
  <c r="D168" i="27"/>
  <c r="D169" i="27"/>
  <c r="D170" i="27"/>
  <c r="D171" i="27"/>
  <c r="D172" i="27"/>
  <c r="D173" i="27"/>
  <c r="D174" i="27"/>
  <c r="D175" i="27"/>
  <c r="D176" i="27"/>
  <c r="D177" i="27"/>
  <c r="D178" i="27"/>
  <c r="D179" i="27"/>
  <c r="D180" i="27"/>
  <c r="D181" i="27"/>
  <c r="D182" i="27"/>
  <c r="D183" i="27"/>
  <c r="D184" i="27"/>
  <c r="D185" i="27"/>
  <c r="D186" i="27"/>
  <c r="D187" i="27"/>
  <c r="D188" i="27"/>
  <c r="D189" i="27"/>
  <c r="D190" i="27"/>
  <c r="D191" i="27"/>
  <c r="D192" i="27"/>
  <c r="D131" i="27"/>
  <c r="D132" i="27"/>
  <c r="D133" i="27"/>
  <c r="D134" i="27"/>
  <c r="D135" i="27"/>
  <c r="D136" i="27"/>
  <c r="D137" i="27"/>
  <c r="D138" i="27"/>
  <c r="D139" i="27"/>
  <c r="D140" i="27"/>
  <c r="D141" i="27"/>
  <c r="D142" i="27"/>
  <c r="D143" i="27"/>
  <c r="D144" i="27"/>
  <c r="D145" i="27"/>
  <c r="D146" i="27"/>
  <c r="D147" i="27"/>
  <c r="D148" i="27"/>
  <c r="D149" i="27"/>
  <c r="D150" i="27"/>
  <c r="D151" i="27"/>
  <c r="D152" i="27"/>
  <c r="D153" i="27"/>
  <c r="D154" i="27"/>
  <c r="D155" i="27"/>
  <c r="D156" i="27"/>
  <c r="D157" i="27"/>
  <c r="D158" i="27"/>
  <c r="D159" i="27"/>
  <c r="D160" i="27"/>
  <c r="D161" i="27"/>
  <c r="D51" i="27"/>
  <c r="D52" i="27"/>
  <c r="D53" i="27"/>
  <c r="D54" i="27"/>
  <c r="D55" i="27"/>
  <c r="D56" i="27"/>
  <c r="D57" i="27"/>
  <c r="D58" i="27"/>
  <c r="D59" i="27"/>
  <c r="D60" i="27"/>
  <c r="D61" i="27"/>
  <c r="D62" i="27"/>
  <c r="D63" i="27"/>
  <c r="D64" i="27"/>
  <c r="D65" i="27"/>
  <c r="D66" i="27"/>
  <c r="D67" i="27"/>
  <c r="D68" i="27"/>
  <c r="D69" i="27"/>
  <c r="D70" i="27"/>
  <c r="D71" i="27"/>
  <c r="D72" i="27"/>
  <c r="D73" i="27"/>
  <c r="D74" i="27"/>
  <c r="D75" i="27"/>
  <c r="D76" i="27"/>
  <c r="D77" i="27"/>
  <c r="D78" i="27"/>
  <c r="D79" i="27"/>
  <c r="D80" i="27"/>
  <c r="D81" i="27"/>
  <c r="D82" i="27"/>
  <c r="D83" i="27"/>
  <c r="D84" i="27"/>
  <c r="D85" i="27"/>
  <c r="D86" i="27"/>
  <c r="D87" i="27"/>
  <c r="D88" i="27"/>
  <c r="D89" i="27"/>
  <c r="D90" i="27"/>
  <c r="D91" i="27"/>
  <c r="D92" i="27"/>
  <c r="D93" i="27"/>
  <c r="D94" i="27"/>
  <c r="D95" i="27"/>
  <c r="D96" i="27"/>
  <c r="D97" i="27"/>
  <c r="D98" i="27"/>
  <c r="D99" i="27"/>
  <c r="D100" i="27"/>
  <c r="D101" i="27"/>
  <c r="D102" i="27"/>
  <c r="D103" i="27"/>
  <c r="D104" i="27"/>
  <c r="D105" i="27"/>
  <c r="D106" i="27"/>
  <c r="D107" i="27"/>
  <c r="D108" i="27"/>
  <c r="D109" i="27"/>
  <c r="D110" i="27"/>
  <c r="D111" i="27"/>
  <c r="D112" i="27"/>
  <c r="D113" i="27"/>
  <c r="D114" i="27"/>
  <c r="D115" i="27"/>
  <c r="D116" i="27"/>
  <c r="D117" i="27"/>
  <c r="D118" i="27"/>
  <c r="D119" i="27"/>
  <c r="D120" i="27"/>
  <c r="D121" i="27"/>
  <c r="D122" i="27"/>
  <c r="D123" i="27"/>
  <c r="D124" i="27"/>
  <c r="D125" i="27"/>
  <c r="D126" i="27"/>
  <c r="D127" i="27"/>
  <c r="D128" i="27"/>
  <c r="D129" i="27"/>
  <c r="D130" i="27"/>
  <c r="D48" i="27"/>
  <c r="D49" i="27"/>
  <c r="D50" i="27"/>
  <c r="D43" i="27"/>
  <c r="D44" i="27"/>
  <c r="D45" i="27"/>
  <c r="D46" i="27"/>
  <c r="D47" i="27"/>
  <c r="D38" i="27"/>
  <c r="D39" i="27"/>
  <c r="D40" i="27"/>
  <c r="D41" i="27"/>
  <c r="D42" i="27"/>
  <c r="D29" i="27"/>
  <c r="D30" i="27"/>
  <c r="D31" i="27"/>
  <c r="D32" i="27"/>
  <c r="D33" i="27"/>
  <c r="D34" i="27"/>
  <c r="D35" i="27"/>
  <c r="D36" i="27"/>
  <c r="D37" i="27"/>
  <c r="D3" i="27"/>
  <c r="D4" i="27"/>
  <c r="D5" i="27"/>
  <c r="D6" i="27"/>
  <c r="D7" i="27"/>
  <c r="D8" i="27"/>
  <c r="D9" i="27"/>
  <c r="D10" i="27"/>
  <c r="D11" i="27"/>
  <c r="D12" i="27"/>
  <c r="D13" i="27"/>
  <c r="D14" i="27"/>
  <c r="D15" i="27"/>
  <c r="D16" i="27"/>
  <c r="D17" i="27"/>
  <c r="D18" i="27"/>
  <c r="D19" i="27"/>
  <c r="D20" i="27"/>
  <c r="D21" i="27"/>
  <c r="D22" i="27"/>
  <c r="D23" i="27"/>
  <c r="D24" i="27"/>
  <c r="D25" i="27"/>
  <c r="D26" i="27"/>
  <c r="D27" i="27"/>
  <c r="D28" i="27"/>
  <c r="D2" i="27"/>
  <c r="X30" i="43"/>
  <c r="X26" i="43"/>
  <c r="X20" i="43"/>
  <c r="X15" i="43"/>
  <c r="X10" i="43"/>
  <c r="T23" i="43"/>
  <c r="T10" i="43"/>
  <c r="P34" i="43"/>
  <c r="P24" i="43"/>
  <c r="P23" i="43"/>
  <c r="P20" i="43"/>
  <c r="P10" i="43"/>
  <c r="L18" i="43"/>
  <c r="T38" i="43" l="1"/>
  <c r="T39" i="43"/>
  <c r="X16" i="43"/>
  <c r="P38" i="43"/>
  <c r="L24" i="43"/>
  <c r="L17" i="43"/>
  <c r="X24" i="43"/>
  <c r="P37" i="43"/>
  <c r="L10" i="43"/>
  <c r="H8" i="43"/>
  <c r="H13" i="43"/>
  <c r="T37" i="43"/>
  <c r="T34" i="43"/>
  <c r="A10" i="43"/>
  <c r="A18" i="43"/>
  <c r="A26" i="43"/>
  <c r="A34" i="43"/>
  <c r="A8" i="43"/>
  <c r="A11" i="43"/>
  <c r="A19" i="43"/>
  <c r="A27" i="43"/>
  <c r="A35" i="43"/>
  <c r="A31" i="43"/>
  <c r="A12" i="43"/>
  <c r="A20" i="43"/>
  <c r="A28" i="43"/>
  <c r="A36" i="43"/>
  <c r="A39" i="43"/>
  <c r="A13" i="43"/>
  <c r="A21" i="43"/>
  <c r="A29" i="43"/>
  <c r="A37" i="43"/>
  <c r="A15" i="43"/>
  <c r="A14" i="43"/>
  <c r="A22" i="43"/>
  <c r="A30" i="43"/>
  <c r="A38" i="43"/>
  <c r="E1" i="44"/>
  <c r="F1" i="44" s="1"/>
  <c r="G1" i="44" s="1"/>
  <c r="H1" i="44" s="1"/>
  <c r="A23" i="43"/>
  <c r="A16" i="43"/>
  <c r="A24" i="43"/>
  <c r="A32" i="43"/>
  <c r="A40" i="43"/>
  <c r="A17" i="43"/>
  <c r="A25" i="43"/>
  <c r="A33" i="43"/>
  <c r="A9" i="43"/>
  <c r="AF40" i="43"/>
  <c r="AB15" i="43"/>
  <c r="X39" i="43"/>
  <c r="T29" i="43"/>
  <c r="AB20" i="43"/>
  <c r="AF26" i="43"/>
  <c r="AF35" i="43"/>
  <c r="AB35" i="43"/>
  <c r="T30" i="43"/>
  <c r="P18" i="43"/>
  <c r="L13" i="43"/>
  <c r="AF20" i="43"/>
  <c r="H29" i="43"/>
  <c r="J32" i="43"/>
  <c r="I32" i="43"/>
  <c r="J23" i="43"/>
  <c r="I23" i="43"/>
  <c r="I19" i="43"/>
  <c r="J19" i="43"/>
  <c r="I8" i="43"/>
  <c r="J8" i="43"/>
  <c r="J9" i="43"/>
  <c r="I9" i="43"/>
  <c r="P15" i="43"/>
  <c r="X34" i="43" l="1"/>
  <c r="X35" i="43"/>
  <c r="AF30" i="43"/>
  <c r="H33" i="43" l="1"/>
  <c r="L33" i="43" l="1"/>
  <c r="H32" i="43"/>
  <c r="L14" i="43"/>
  <c r="L8" i="43"/>
  <c r="X29" i="43" l="1"/>
  <c r="P25" i="43"/>
  <c r="P28" i="43"/>
  <c r="H14" i="43"/>
  <c r="H27" i="43"/>
  <c r="H34" i="43"/>
  <c r="H12" i="43"/>
  <c r="X22" i="43"/>
  <c r="AF32" i="43"/>
  <c r="AF10" i="43"/>
  <c r="AB16" i="43"/>
  <c r="AB27" i="43"/>
  <c r="AB19" i="43"/>
  <c r="AB34" i="43"/>
  <c r="AB24" i="43"/>
  <c r="X9" i="43"/>
  <c r="X11" i="43"/>
  <c r="T33" i="43"/>
  <c r="T18" i="43"/>
  <c r="T21" i="43"/>
  <c r="P13" i="43"/>
  <c r="P8" i="43"/>
  <c r="P30" i="43"/>
  <c r="L23" i="43"/>
  <c r="L29" i="43"/>
  <c r="L32" i="43"/>
  <c r="L9" i="43"/>
  <c r="L19" i="43"/>
  <c r="H17" i="43"/>
  <c r="AF13" i="43"/>
  <c r="AF15" i="43"/>
  <c r="B26" i="43" l="1"/>
  <c r="B27" i="43" s="1"/>
  <c r="B28" i="43" s="1"/>
  <c r="B29" i="43" s="1"/>
  <c r="B30" i="43" s="1"/>
  <c r="B31" i="43" s="1"/>
  <c r="B32" i="43" s="1"/>
  <c r="B33" i="43" l="1"/>
  <c r="B34" i="43" s="1"/>
  <c r="B35" i="43" s="1"/>
  <c r="B36" i="43" s="1"/>
  <c r="B37" i="43" s="1"/>
  <c r="B38" i="43"/>
  <c r="E97" i="27" l="1"/>
  <c r="E43" i="27"/>
  <c r="E7" i="27"/>
  <c r="E47" i="27"/>
  <c r="E34" i="27"/>
  <c r="E99" i="27"/>
  <c r="E55" i="27"/>
  <c r="E20" i="27"/>
  <c r="E35" i="27"/>
  <c r="E92" i="27"/>
  <c r="E106" i="27"/>
  <c r="E22" i="27"/>
  <c r="E100" i="27"/>
  <c r="E95" i="27"/>
  <c r="E78" i="27"/>
  <c r="E73" i="27"/>
  <c r="E18" i="27"/>
  <c r="E66" i="27"/>
  <c r="E31" i="27"/>
  <c r="E54" i="27"/>
  <c r="E53" i="27"/>
  <c r="E12" i="27"/>
  <c r="E11" i="27"/>
  <c r="E103" i="27"/>
  <c r="E19" i="27"/>
  <c r="E113" i="27"/>
  <c r="E107" i="27"/>
  <c r="E63" i="27"/>
  <c r="E90" i="27"/>
  <c r="E61" i="27"/>
  <c r="E62" i="27"/>
  <c r="E58" i="27"/>
  <c r="E29" i="27"/>
  <c r="E14" i="27"/>
  <c r="E2" i="27"/>
  <c r="E68" i="27"/>
  <c r="E93" i="27"/>
  <c r="E52" i="27"/>
  <c r="E51" i="27"/>
  <c r="E41" i="27"/>
  <c r="E36" i="27"/>
  <c r="E33" i="27"/>
  <c r="E9" i="27"/>
  <c r="E94" i="27"/>
  <c r="E111" i="27"/>
  <c r="E104" i="27"/>
  <c r="E30" i="27"/>
  <c r="E112" i="27"/>
  <c r="E65" i="27"/>
  <c r="E15" i="27"/>
  <c r="E91" i="27"/>
  <c r="E60" i="27"/>
  <c r="E25" i="27"/>
  <c r="E108" i="27"/>
  <c r="E57" i="27"/>
  <c r="E28" i="27"/>
  <c r="E17" i="27"/>
  <c r="E88" i="27"/>
  <c r="E105" i="27"/>
  <c r="E101" i="27"/>
  <c r="E110" i="27"/>
  <c r="E89" i="27"/>
  <c r="E96" i="27"/>
  <c r="E56" i="27"/>
  <c r="E87" i="27"/>
  <c r="E86" i="27"/>
  <c r="E85" i="27"/>
  <c r="E84" i="27"/>
  <c r="E83" i="27"/>
  <c r="E82" i="27"/>
  <c r="E81" i="27"/>
  <c r="E80" i="27"/>
  <c r="E79" i="27"/>
  <c r="E77" i="27"/>
  <c r="E76" i="27"/>
  <c r="E75" i="27"/>
  <c r="E74" i="27"/>
  <c r="E72" i="27"/>
  <c r="E71" i="27"/>
  <c r="E70" i="27"/>
  <c r="E69" i="27"/>
  <c r="E67" i="27"/>
  <c r="E109" i="27"/>
  <c r="E102" i="27"/>
  <c r="E64" i="27"/>
  <c r="E98" i="27"/>
  <c r="E50" i="27"/>
  <c r="E49" i="27"/>
  <c r="E48" i="27"/>
  <c r="E46" i="27"/>
  <c r="E45" i="27"/>
  <c r="E44" i="27"/>
  <c r="E42" i="27"/>
  <c r="E21" i="27"/>
  <c r="E40" i="27"/>
  <c r="E39" i="27"/>
  <c r="E38" i="27"/>
  <c r="E37" i="27"/>
  <c r="E32" i="27"/>
  <c r="E27" i="27"/>
  <c r="E26" i="27"/>
  <c r="E16" i="27"/>
  <c r="E13" i="27"/>
  <c r="E10" i="27"/>
  <c r="E8" i="27"/>
  <c r="E6" i="27"/>
  <c r="E5" i="27"/>
  <c r="E4" i="27"/>
  <c r="E3" i="27"/>
  <c r="E59" i="27"/>
  <c r="E23" i="27"/>
  <c r="E24" i="27"/>
  <c r="B39" i="43"/>
  <c r="B8" i="43" l="1"/>
  <c r="B9" i="43" s="1"/>
  <c r="B10" i="43" l="1"/>
  <c r="B11" i="43" l="1"/>
  <c r="B12" i="43" s="1"/>
  <c r="B13" i="43" s="1"/>
  <c r="B14" i="43" s="1"/>
  <c r="B15" i="43" s="1"/>
  <c r="B16" i="43" s="1"/>
  <c r="B17" i="43" l="1"/>
  <c r="E131" i="27" l="1"/>
  <c r="E121" i="27"/>
  <c r="E118" i="27"/>
  <c r="E129" i="27"/>
  <c r="E127" i="27"/>
  <c r="E134" i="27"/>
  <c r="E167" i="27"/>
  <c r="E164" i="27"/>
  <c r="E144" i="27"/>
  <c r="E141" i="27"/>
  <c r="E162" i="27"/>
  <c r="E146" i="27"/>
  <c r="E143" i="27"/>
  <c r="E139" i="27"/>
  <c r="E137" i="27"/>
  <c r="E132" i="27"/>
  <c r="E152" i="27"/>
  <c r="E138" i="27"/>
  <c r="B18" i="43"/>
  <c r="B19" i="43" s="1"/>
  <c r="B20" i="43" s="1"/>
  <c r="E170" i="27"/>
  <c r="E180" i="27"/>
  <c r="E166" i="27"/>
  <c r="E163" i="27"/>
  <c r="E160" i="27"/>
  <c r="E148" i="27"/>
  <c r="E145" i="27"/>
  <c r="E140" i="27"/>
  <c r="E135" i="27"/>
  <c r="E125" i="27"/>
  <c r="E124" i="27"/>
  <c r="E123" i="27"/>
  <c r="E119" i="27"/>
  <c r="E117" i="27"/>
  <c r="E133" i="27"/>
  <c r="E130" i="27"/>
  <c r="E128" i="27"/>
  <c r="E126" i="27"/>
  <c r="E122" i="27"/>
  <c r="E120" i="27"/>
  <c r="E115" i="27"/>
  <c r="E165" i="27"/>
  <c r="E116" i="27"/>
  <c r="E114" i="27"/>
  <c r="E169" i="27"/>
  <c r="E159" i="27"/>
  <c r="E157" i="27"/>
  <c r="E156" i="27"/>
  <c r="E155" i="27"/>
  <c r="E154" i="27"/>
  <c r="E153" i="27"/>
  <c r="E142" i="27"/>
  <c r="E151" i="27"/>
  <c r="E150" i="27"/>
  <c r="E149" i="27"/>
  <c r="E168" i="27"/>
  <c r="E161" i="27"/>
  <c r="E158" i="27"/>
  <c r="E147" i="27"/>
  <c r="E136" i="27"/>
  <c r="E172" i="27" l="1"/>
  <c r="E183" i="27"/>
  <c r="E212" i="27"/>
  <c r="E210" i="27"/>
  <c r="E231" i="27"/>
  <c r="E197" i="27"/>
  <c r="E215" i="27"/>
  <c r="E193" i="27"/>
  <c r="E174" i="27"/>
  <c r="E200" i="27"/>
  <c r="E208" i="27"/>
  <c r="E175" i="27"/>
  <c r="E196" i="27"/>
  <c r="E217" i="27"/>
  <c r="E177" i="27"/>
  <c r="E203" i="27"/>
  <c r="E207" i="27"/>
  <c r="B21" i="43"/>
  <c r="B22" i="43" s="1"/>
  <c r="B23" i="43" s="1"/>
  <c r="B24" i="43" s="1"/>
  <c r="E188" i="27" l="1"/>
  <c r="E221" i="27"/>
  <c r="E224" i="27"/>
  <c r="E184" i="27"/>
  <c r="E229" i="27"/>
  <c r="E218" i="27"/>
  <c r="E206" i="27"/>
  <c r="E186" i="27"/>
  <c r="E189" i="27"/>
  <c r="E225" i="27"/>
  <c r="E223" i="27"/>
  <c r="E228" i="27"/>
  <c r="E185" i="27"/>
  <c r="E219" i="27"/>
  <c r="E205" i="27"/>
  <c r="E226" i="27"/>
  <c r="E190" i="27"/>
  <c r="E202" i="27"/>
  <c r="E227" i="27"/>
  <c r="E204" i="27"/>
  <c r="E187" i="27"/>
  <c r="E191" i="27"/>
  <c r="E192" i="27"/>
  <c r="E213" i="27"/>
  <c r="E220" i="27"/>
  <c r="E222" i="27"/>
  <c r="E181" i="27"/>
  <c r="E214" i="27"/>
  <c r="E230" i="27"/>
  <c r="E182" i="27"/>
  <c r="E176" i="27"/>
  <c r="E178" i="27"/>
  <c r="E194" i="27"/>
  <c r="E216" i="27"/>
  <c r="E209" i="27"/>
  <c r="E195" i="27"/>
  <c r="E201" i="27"/>
  <c r="E171" i="27"/>
  <c r="E199" i="27"/>
  <c r="E173" i="27"/>
  <c r="E198" i="27"/>
  <c r="E211" i="27"/>
  <c r="E232" i="27"/>
  <c r="E179" i="27"/>
</calcChain>
</file>

<file path=xl/sharedStrings.xml><?xml version="1.0" encoding="utf-8"?>
<sst xmlns="http://schemas.openxmlformats.org/spreadsheetml/2006/main" count="1679" uniqueCount="103">
  <si>
    <t/>
  </si>
  <si>
    <t>Roster</t>
  </si>
  <si>
    <t>Wk</t>
  </si>
  <si>
    <t>Total</t>
  </si>
  <si>
    <t>Sunday</t>
  </si>
  <si>
    <t>Monday</t>
  </si>
  <si>
    <t>Tuesday</t>
  </si>
  <si>
    <t>Wednesday</t>
  </si>
  <si>
    <t>Thursday</t>
  </si>
  <si>
    <t>Friday</t>
  </si>
  <si>
    <t>Saturday</t>
  </si>
  <si>
    <t>On</t>
  </si>
  <si>
    <t>Off</t>
  </si>
  <si>
    <t>Turn</t>
  </si>
  <si>
    <t>SP</t>
  </si>
  <si>
    <t>RD</t>
  </si>
  <si>
    <t>CU  905</t>
  </si>
  <si>
    <t>CU  903</t>
  </si>
  <si>
    <t>CU  904</t>
  </si>
  <si>
    <t>CU  1902</t>
  </si>
  <si>
    <t>CU  908</t>
  </si>
  <si>
    <t>CU  1904</t>
  </si>
  <si>
    <t>CU  1908</t>
  </si>
  <si>
    <t>CU  2904</t>
  </si>
  <si>
    <t>CU  907</t>
  </si>
  <si>
    <t>CU  901</t>
  </si>
  <si>
    <t>CU  902</t>
  </si>
  <si>
    <t>CU  1901</t>
  </si>
  <si>
    <t>CU  2905</t>
  </si>
  <si>
    <t>CU  906</t>
  </si>
  <si>
    <t>CU  1905</t>
  </si>
  <si>
    <t>CU  1903</t>
  </si>
  <si>
    <t>CU  1906</t>
  </si>
  <si>
    <t>CU  2901</t>
  </si>
  <si>
    <t>CU  1907</t>
  </si>
  <si>
    <t>CU  2903</t>
  </si>
  <si>
    <t>Total:</t>
  </si>
  <si>
    <t>(1120.00)</t>
  </si>
  <si>
    <t>Avg:</t>
  </si>
  <si>
    <t>NAME</t>
  </si>
  <si>
    <t>Week Comm</t>
  </si>
  <si>
    <t>Commencing</t>
  </si>
  <si>
    <t xml:space="preserve">CLEETHORPES DRIVERS   </t>
  </si>
  <si>
    <t>SHEPPARD</t>
  </si>
  <si>
    <t>AKERS</t>
  </si>
  <si>
    <t>MORRISH</t>
  </si>
  <si>
    <t>GIBSON</t>
  </si>
  <si>
    <t>GALE</t>
  </si>
  <si>
    <t>YOUNG</t>
  </si>
  <si>
    <t>YATES</t>
  </si>
  <si>
    <t>STRINGER</t>
  </si>
  <si>
    <t>POTTER</t>
  </si>
  <si>
    <t>JAMES</t>
  </si>
  <si>
    <t>STREETER</t>
  </si>
  <si>
    <t>MATHIESON</t>
  </si>
  <si>
    <t>HUNTLEY</t>
  </si>
  <si>
    <t>BELL</t>
  </si>
  <si>
    <t>GORGE</t>
  </si>
  <si>
    <t>BAKER</t>
  </si>
  <si>
    <t>KEEGANS</t>
  </si>
  <si>
    <t>WOOD</t>
  </si>
  <si>
    <t>PERRY</t>
  </si>
  <si>
    <t>BUTTERWORTH</t>
  </si>
  <si>
    <t>CAMBRIDGE</t>
  </si>
  <si>
    <t>Subject</t>
  </si>
  <si>
    <t>Location</t>
  </si>
  <si>
    <t>Description</t>
  </si>
  <si>
    <t>Start Date</t>
  </si>
  <si>
    <t>End Date</t>
  </si>
  <si>
    <t>Start Time</t>
  </si>
  <si>
    <t>End Time</t>
  </si>
  <si>
    <t>All Day Event</t>
  </si>
  <si>
    <t>Categories</t>
  </si>
  <si>
    <t>No</t>
  </si>
  <si>
    <t>Work</t>
  </si>
  <si>
    <t>Cleethorpes</t>
  </si>
  <si>
    <t>Monday Turns</t>
  </si>
  <si>
    <t>Sunday Turns</t>
  </si>
  <si>
    <t>Tuesday Turns</t>
  </si>
  <si>
    <t>Wednesday Turns</t>
  </si>
  <si>
    <t>Thursday Turns</t>
  </si>
  <si>
    <t>Friday Turns</t>
  </si>
  <si>
    <t>Saturday Turns</t>
  </si>
  <si>
    <t>BLACKLOCK</t>
  </si>
  <si>
    <t>CU  2906</t>
  </si>
  <si>
    <t>CU  2908</t>
  </si>
  <si>
    <t>HOWARD</t>
  </si>
  <si>
    <t>TURNER</t>
  </si>
  <si>
    <t>FOX</t>
  </si>
  <si>
    <t>Author: Katherine Meek</t>
  </si>
  <si>
    <t>CU  2907</t>
  </si>
  <si>
    <t>CU  909</t>
  </si>
  <si>
    <t>CU  1909</t>
  </si>
  <si>
    <t>COLLIER</t>
  </si>
  <si>
    <t>GRESSWELL</t>
  </si>
  <si>
    <t>EDWARDS</t>
  </si>
  <si>
    <t>HOLMES</t>
  </si>
  <si>
    <t>RR</t>
  </si>
  <si>
    <t>FAIRBANK</t>
  </si>
  <si>
    <t>MILLER</t>
  </si>
  <si>
    <t>CU  2909</t>
  </si>
  <si>
    <t>REY'DS/PIPER</t>
  </si>
  <si>
    <t>LOND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</si>
</sst>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;\-[h]:mm;"/>
  </numFmts>
  <fonts count="16" x14ac:knownFonts="1">
    <font>
      <sz val="11"/>
      <name val="Arial"/>
    </font>
    <font>
      <b/>
      <sz val="11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4"/>
      <name val="Comic Sans MS"/>
      <family val="4"/>
    </font>
    <font>
      <sz val="14"/>
      <name val="Comic Sans MS"/>
      <family val="4"/>
    </font>
    <font>
      <sz val="14"/>
      <name val="Arial"/>
      <family val="2"/>
    </font>
    <font>
      <sz val="8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sz val="22"/>
      <name val="Arial"/>
      <family val="2"/>
    </font>
    <font>
      <sz val="8"/>
      <name val="Arial Narrow"/>
      <family val="2"/>
    </font>
    <font>
      <sz val="8"/>
      <color rgb="FFFFFFFF"/>
      <name val="Arial Narrow"/>
      <family val="2"/>
    </font>
    <font>
      <sz val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90EE90"/>
      </patternFill>
    </fill>
    <fill>
      <patternFill patternType="solid">
        <fgColor rgb="FFFFFFFF"/>
      </patternFill>
    </fill>
    <fill>
      <patternFill patternType="solid">
        <fgColor rgb="FFADD8E6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5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3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0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20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20" fontId="1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/>
    <xf numFmtId="0" fontId="4" fillId="0" borderId="1" xfId="0" applyFont="1" applyBorder="1"/>
    <xf numFmtId="14" fontId="5" fillId="0" borderId="1" xfId="0" applyNumberFormat="1" applyFont="1" applyBorder="1"/>
    <xf numFmtId="0" fontId="7" fillId="0" borderId="0" xfId="0" applyFont="1"/>
    <xf numFmtId="0" fontId="7" fillId="7" borderId="0" xfId="0" applyFont="1" applyFill="1"/>
    <xf numFmtId="0" fontId="6" fillId="8" borderId="0" xfId="0" applyFont="1" applyFill="1"/>
    <xf numFmtId="20" fontId="7" fillId="7" borderId="0" xfId="0" applyNumberFormat="1" applyFont="1" applyFill="1"/>
    <xf numFmtId="14" fontId="7" fillId="7" borderId="0" xfId="0" applyNumberFormat="1" applyFont="1" applyFill="1"/>
    <xf numFmtId="0" fontId="8" fillId="0" borderId="0" xfId="0" applyFont="1"/>
    <xf numFmtId="14" fontId="8" fillId="0" borderId="0" xfId="0" applyNumberFormat="1" applyFont="1"/>
    <xf numFmtId="20" fontId="7" fillId="7" borderId="0" xfId="0" applyNumberFormat="1" applyFont="1" applyFill="1" applyAlignment="1">
      <alignment horizontal="center"/>
    </xf>
    <xf numFmtId="164" fontId="5" fillId="0" borderId="1" xfId="0" applyNumberFormat="1" applyFont="1" applyBorder="1" applyAlignment="1" applyProtection="1">
      <alignment horizontal="left"/>
      <protection locked="0"/>
    </xf>
    <xf numFmtId="0" fontId="6" fillId="8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/>
    <xf numFmtId="2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0" fontId="5" fillId="0" borderId="0" xfId="0" applyFont="1"/>
    <xf numFmtId="0" fontId="14" fillId="2" borderId="0" xfId="0" applyFont="1" applyFill="1" applyAlignment="1">
      <alignment horizontal="center" vertical="center" wrapText="1"/>
    </xf>
    <xf numFmtId="2" fontId="14" fillId="2" borderId="0" xfId="0" applyNumberFormat="1" applyFont="1" applyFill="1" applyAlignment="1">
      <alignment horizontal="center" vertical="center" wrapText="1"/>
    </xf>
    <xf numFmtId="14" fontId="3" fillId="0" borderId="0" xfId="1" applyNumberFormat="1" applyAlignment="1">
      <alignment horizontal="center"/>
    </xf>
    <xf numFmtId="0" fontId="3" fillId="0" borderId="0" xfId="1"/>
    <xf numFmtId="14" fontId="3" fillId="0" borderId="0" xfId="1" applyNumberFormat="1"/>
    <xf numFmtId="0" fontId="3" fillId="0" borderId="0" xfId="1" applyAlignment="1" applyProtection="1">
      <alignment horizontal="left"/>
      <protection locked="0"/>
    </xf>
    <xf numFmtId="0" fontId="11" fillId="0" borderId="0" xfId="1" applyFont="1" applyAlignment="1" applyProtection="1">
      <alignment horizontal="left"/>
      <protection locked="0"/>
    </xf>
    <xf numFmtId="0" fontId="3" fillId="6" borderId="0" xfId="1" applyFill="1" applyAlignment="1" applyProtection="1">
      <alignment horizontal="left"/>
      <protection locked="0"/>
    </xf>
    <xf numFmtId="20" fontId="1" fillId="9" borderId="1" xfId="0" applyNumberFormat="1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0" borderId="0" xfId="0"/>
    <xf numFmtId="0" fontId="5" fillId="0" borderId="0" xfId="0" applyFont="1" applyAlignment="1">
      <alignment horizontal="center"/>
    </xf>
    <xf numFmtId="0" fontId="5" fillId="0" borderId="0" xfId="0" applyFont="1"/>
    <xf numFmtId="15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13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</cellXfs>
  <cellStyles count="2">
    <cellStyle name="Normal" xfId="0" builtinId="0"/>
    <cellStyle name="Normal 2" xfId="1" xr:uid="{FE3D2C24-722A-4F32-9316-40B9473A24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FC90C-023F-4929-8C84-47CEF3545D52}">
  <sheetPr>
    <pageSetUpPr fitToPage="1"/>
  </sheetPr>
  <dimension ref="A1:AF41"/>
  <sheetViews>
    <sheetView tabSelected="1" topLeftCell="A20" zoomScale="80" zoomScaleNormal="80" workbookViewId="0">
      <selection activeCell="Y39" sqref="Y39"/>
    </sheetView>
  </sheetViews>
  <sheetFormatPr defaultColWidth="8.640625" defaultRowHeight="19.75" x14ac:dyDescent="0.45"/>
  <cols>
    <col min="1" max="1" width="25.7109375" style="12" customWidth="1"/>
    <col min="2" max="2" width="19.640625" customWidth="1"/>
    <col min="3" max="3" width="4" customWidth="1"/>
    <col min="4" max="4" width="7" customWidth="1"/>
    <col min="5" max="32" width="8.640625" customWidth="1"/>
    <col min="33" max="98" width="2" customWidth="1"/>
  </cols>
  <sheetData>
    <row r="1" spans="1:32" x14ac:dyDescent="0.45">
      <c r="C1" t="s">
        <v>0</v>
      </c>
    </row>
    <row r="2" spans="1:32" ht="27" customHeight="1" x14ac:dyDescent="0.45">
      <c r="C2" s="42" t="s">
        <v>1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</row>
    <row r="3" spans="1:32" x14ac:dyDescent="0.45">
      <c r="C3" t="s">
        <v>0</v>
      </c>
      <c r="L3" s="28"/>
      <c r="M3" s="28"/>
      <c r="N3" s="28"/>
    </row>
    <row r="4" spans="1:32" s="12" customFormat="1" ht="20.149999999999999" x14ac:dyDescent="0.5">
      <c r="A4" s="30"/>
      <c r="B4" s="30"/>
      <c r="C4" s="30" t="s">
        <v>0</v>
      </c>
      <c r="D4" s="44" t="s">
        <v>42</v>
      </c>
      <c r="E4" s="44"/>
      <c r="F4" s="44"/>
      <c r="G4" s="44"/>
      <c r="H4" s="44"/>
      <c r="I4" s="44"/>
      <c r="J4" s="30" t="s">
        <v>0</v>
      </c>
      <c r="K4" s="30" t="s">
        <v>0</v>
      </c>
      <c r="L4" s="30"/>
      <c r="M4" s="30" t="s">
        <v>0</v>
      </c>
      <c r="N4" s="30" t="s">
        <v>0</v>
      </c>
      <c r="O4" s="30" t="s">
        <v>0</v>
      </c>
      <c r="P4" s="44" t="s">
        <v>89</v>
      </c>
      <c r="Q4" s="44"/>
      <c r="R4" s="44"/>
      <c r="S4" s="44"/>
      <c r="T4" s="44"/>
      <c r="U4" s="44"/>
      <c r="V4" s="44"/>
      <c r="W4" s="44"/>
      <c r="X4" s="44"/>
      <c r="Y4" s="30" t="s">
        <v>0</v>
      </c>
      <c r="Z4" s="45" t="s">
        <v>41</v>
      </c>
      <c r="AA4" s="45" t="s">
        <v>0</v>
      </c>
      <c r="AB4" s="46">
        <v>46005</v>
      </c>
      <c r="AC4" s="47"/>
      <c r="AD4" s="47"/>
      <c r="AE4" s="47"/>
      <c r="AF4" s="47"/>
    </row>
    <row r="5" spans="1:32" x14ac:dyDescent="0.45">
      <c r="C5" t="s">
        <v>0</v>
      </c>
    </row>
    <row r="6" spans="1:32" s="3" customFormat="1" ht="20.149999999999999" x14ac:dyDescent="0.5">
      <c r="A6" s="13" t="s">
        <v>39</v>
      </c>
      <c r="B6" s="2" t="s">
        <v>40</v>
      </c>
      <c r="C6" s="48" t="s">
        <v>2</v>
      </c>
      <c r="D6" s="48" t="s">
        <v>3</v>
      </c>
      <c r="E6" s="41" t="s">
        <v>4</v>
      </c>
      <c r="F6" s="41" t="s">
        <v>0</v>
      </c>
      <c r="G6" s="41" t="s">
        <v>0</v>
      </c>
      <c r="H6" s="41" t="s">
        <v>0</v>
      </c>
      <c r="I6" s="41" t="s">
        <v>5</v>
      </c>
      <c r="J6" s="41" t="s">
        <v>0</v>
      </c>
      <c r="K6" s="41" t="s">
        <v>0</v>
      </c>
      <c r="L6" s="41" t="s">
        <v>0</v>
      </c>
      <c r="M6" s="41" t="s">
        <v>6</v>
      </c>
      <c r="N6" s="41" t="s">
        <v>0</v>
      </c>
      <c r="O6" s="41" t="s">
        <v>0</v>
      </c>
      <c r="P6" s="41" t="s">
        <v>0</v>
      </c>
      <c r="Q6" s="41" t="s">
        <v>7</v>
      </c>
      <c r="R6" s="41" t="s">
        <v>0</v>
      </c>
      <c r="S6" s="41" t="s">
        <v>0</v>
      </c>
      <c r="T6" s="41" t="s">
        <v>0</v>
      </c>
      <c r="U6" s="41" t="s">
        <v>8</v>
      </c>
      <c r="V6" s="41" t="s">
        <v>0</v>
      </c>
      <c r="W6" s="41" t="s">
        <v>0</v>
      </c>
      <c r="X6" s="41" t="s">
        <v>0</v>
      </c>
      <c r="Y6" s="41" t="s">
        <v>9</v>
      </c>
      <c r="Z6" s="41" t="s">
        <v>0</v>
      </c>
      <c r="AA6" s="41" t="s">
        <v>0</v>
      </c>
      <c r="AB6" s="41" t="s">
        <v>0</v>
      </c>
      <c r="AC6" s="41" t="s">
        <v>10</v>
      </c>
      <c r="AD6" s="41" t="s">
        <v>0</v>
      </c>
      <c r="AE6" s="41" t="s">
        <v>0</v>
      </c>
      <c r="AF6" s="41" t="s">
        <v>0</v>
      </c>
    </row>
    <row r="7" spans="1:32" x14ac:dyDescent="0.45">
      <c r="A7" s="14"/>
      <c r="B7" s="1"/>
      <c r="C7" s="48" t="s">
        <v>0</v>
      </c>
      <c r="D7" s="48" t="s">
        <v>0</v>
      </c>
      <c r="E7" s="4" t="s">
        <v>11</v>
      </c>
      <c r="F7" s="4" t="s">
        <v>12</v>
      </c>
      <c r="G7" s="4" t="s">
        <v>13</v>
      </c>
      <c r="H7" s="4" t="s">
        <v>3</v>
      </c>
      <c r="I7" s="4" t="s">
        <v>11</v>
      </c>
      <c r="J7" s="4" t="s">
        <v>12</v>
      </c>
      <c r="K7" s="4" t="s">
        <v>13</v>
      </c>
      <c r="L7" s="4" t="s">
        <v>3</v>
      </c>
      <c r="M7" s="4" t="s">
        <v>11</v>
      </c>
      <c r="N7" s="4" t="s">
        <v>12</v>
      </c>
      <c r="O7" s="4" t="s">
        <v>13</v>
      </c>
      <c r="P7" s="4" t="s">
        <v>3</v>
      </c>
      <c r="Q7" s="4" t="s">
        <v>11</v>
      </c>
      <c r="R7" s="4" t="s">
        <v>12</v>
      </c>
      <c r="S7" s="4" t="s">
        <v>13</v>
      </c>
      <c r="T7" s="4" t="s">
        <v>3</v>
      </c>
      <c r="U7" s="4" t="s">
        <v>11</v>
      </c>
      <c r="V7" s="4" t="s">
        <v>12</v>
      </c>
      <c r="W7" s="4" t="s">
        <v>13</v>
      </c>
      <c r="X7" s="4" t="s">
        <v>3</v>
      </c>
      <c r="Y7" s="4" t="s">
        <v>11</v>
      </c>
      <c r="Z7" s="4" t="s">
        <v>12</v>
      </c>
      <c r="AA7" s="4" t="s">
        <v>13</v>
      </c>
      <c r="AB7" s="4" t="s">
        <v>3</v>
      </c>
      <c r="AC7" s="4" t="s">
        <v>11</v>
      </c>
      <c r="AD7" s="4" t="s">
        <v>12</v>
      </c>
      <c r="AE7" s="4" t="s">
        <v>13</v>
      </c>
      <c r="AF7" s="4" t="s">
        <v>3</v>
      </c>
    </row>
    <row r="8" spans="1:32" s="3" customFormat="1" ht="35.15" customHeight="1" x14ac:dyDescent="0.5">
      <c r="A8" s="24" t="str">
        <f>HLOOKUP($AB$4,Drivers!$A$1:$H$34,C8+1)</f>
        <v>LOND</v>
      </c>
      <c r="B8" s="15">
        <f>B40+7</f>
        <v>46012</v>
      </c>
      <c r="C8" s="29">
        <v>1</v>
      </c>
      <c r="D8" s="5">
        <v>27.15</v>
      </c>
      <c r="E8" s="8">
        <f>VLOOKUP(G8,'Sunday Turns'!$A$5:$C$12,2,TRUE)</f>
        <v>0.8569444444444444</v>
      </c>
      <c r="F8" s="8">
        <f>VLOOKUP(G8,'Sunday Turns'!$A$5:$C$12,3,TRUE)</f>
        <v>0.18333333333333332</v>
      </c>
      <c r="G8" s="9" t="s">
        <v>85</v>
      </c>
      <c r="H8" s="8">
        <f>MOD(F8-E8,1)</f>
        <v>0.32638888888888895</v>
      </c>
      <c r="I8" s="8">
        <f>VLOOKUP(K8,'Monday Turns'!$A$5:$C$13,2,TRUE)</f>
        <v>0.8208333333333333</v>
      </c>
      <c r="J8" s="8">
        <f>VLOOKUP(K8,'Monday Turns'!$A$5:$C$13,3,TRUE)</f>
        <v>0.16805555555555557</v>
      </c>
      <c r="K8" s="9" t="s">
        <v>20</v>
      </c>
      <c r="L8" s="8">
        <f>MOD(J8-I8,1)</f>
        <v>0.34722222222222232</v>
      </c>
      <c r="M8" s="8">
        <f>VLOOKUP(O8,'Tuesday Turns'!$A$5:$C$13,2,TRUE)</f>
        <v>0.70972222222222225</v>
      </c>
      <c r="N8" s="8">
        <f>VLOOKUP(O8,'Tuesday Turns'!$A$5:$C$13,3,TRUE)</f>
        <v>9.0277777777777769E-3</v>
      </c>
      <c r="O8" s="9" t="s">
        <v>91</v>
      </c>
      <c r="P8" s="8">
        <f>MOD(N8-M8,1)</f>
        <v>0.29930555555555549</v>
      </c>
      <c r="Q8" s="10" t="s">
        <v>0</v>
      </c>
      <c r="R8" s="10" t="s">
        <v>0</v>
      </c>
      <c r="S8" s="11" t="s">
        <v>15</v>
      </c>
      <c r="T8" s="10" t="s">
        <v>0</v>
      </c>
      <c r="U8" s="10" t="s">
        <v>0</v>
      </c>
      <c r="V8" s="10" t="s">
        <v>0</v>
      </c>
      <c r="W8" s="11" t="s">
        <v>15</v>
      </c>
      <c r="X8" s="10" t="s">
        <v>0</v>
      </c>
      <c r="Y8" s="10" t="s">
        <v>0</v>
      </c>
      <c r="Z8" s="10" t="s">
        <v>0</v>
      </c>
      <c r="AA8" s="11" t="s">
        <v>15</v>
      </c>
      <c r="AB8" s="10" t="s">
        <v>0</v>
      </c>
      <c r="AC8" s="10" t="s">
        <v>0</v>
      </c>
      <c r="AD8" s="10" t="s">
        <v>0</v>
      </c>
      <c r="AE8" s="11" t="s">
        <v>15</v>
      </c>
      <c r="AF8" s="10" t="s">
        <v>0</v>
      </c>
    </row>
    <row r="9" spans="1:32" s="3" customFormat="1" ht="35.15" customHeight="1" x14ac:dyDescent="0.5">
      <c r="A9" s="24" t="str">
        <f>HLOOKUP($AB$4,Drivers!$A$1:$H$34,C9+1)</f>
        <v>STREETER</v>
      </c>
      <c r="B9" s="15">
        <f t="shared" ref="B9:B40" si="0">B8+7</f>
        <v>46019</v>
      </c>
      <c r="C9" s="29">
        <v>2</v>
      </c>
      <c r="D9" s="5">
        <v>34.04</v>
      </c>
      <c r="E9" s="6">
        <v>0.49652777777777779</v>
      </c>
      <c r="F9" s="6">
        <v>0.82986111111111116</v>
      </c>
      <c r="G9" s="7" t="s">
        <v>14</v>
      </c>
      <c r="H9" s="6">
        <f>MOD(F9-E9,1)</f>
        <v>0.33333333333333337</v>
      </c>
      <c r="I9" s="8">
        <f>VLOOKUP(K9,'Monday Turns'!$A$5:$C$13,2,TRUE)</f>
        <v>0.45833333333333331</v>
      </c>
      <c r="J9" s="8">
        <f>VLOOKUP(K9,'Monday Turns'!$A$5:$C$13,3,TRUE)</f>
        <v>0.74930555555555556</v>
      </c>
      <c r="K9" s="9" t="s">
        <v>18</v>
      </c>
      <c r="L9" s="8">
        <f>MOD(J9-I9,1)</f>
        <v>0.29097222222222224</v>
      </c>
      <c r="M9" s="6">
        <v>0.33958333333333335</v>
      </c>
      <c r="N9" s="6">
        <v>0.75624999999999998</v>
      </c>
      <c r="O9" s="7" t="s">
        <v>14</v>
      </c>
      <c r="P9" s="6">
        <f>MOD(N9-M9,1)</f>
        <v>0.41666666666666663</v>
      </c>
      <c r="Q9" s="6">
        <v>0.33958333333333335</v>
      </c>
      <c r="R9" s="6">
        <v>0.75624999999999998</v>
      </c>
      <c r="S9" s="7" t="s">
        <v>14</v>
      </c>
      <c r="T9" s="6">
        <f>MOD(R9-Q9,1)</f>
        <v>0.41666666666666663</v>
      </c>
      <c r="U9" s="8">
        <f>VLOOKUP(W9,'Thursday Turns'!$A$5:$C$13,2,TRUE)</f>
        <v>0.28819444444444442</v>
      </c>
      <c r="V9" s="8">
        <f>VLOOKUP(W9,'Thursday Turns'!$A$5:$C$13,3,TRUE)</f>
        <v>0.49930555555555556</v>
      </c>
      <c r="W9" s="9" t="s">
        <v>17</v>
      </c>
      <c r="X9" s="8">
        <f>MOD(V9-U9,1)</f>
        <v>0.21111111111111114</v>
      </c>
      <c r="Y9" s="10" t="s">
        <v>0</v>
      </c>
      <c r="Z9" s="10" t="s">
        <v>0</v>
      </c>
      <c r="AA9" s="11" t="s">
        <v>15</v>
      </c>
      <c r="AB9" s="10" t="s">
        <v>0</v>
      </c>
      <c r="AC9" s="10" t="s">
        <v>0</v>
      </c>
      <c r="AD9" s="10" t="s">
        <v>0</v>
      </c>
      <c r="AE9" s="11" t="s">
        <v>15</v>
      </c>
      <c r="AF9" s="10" t="s">
        <v>0</v>
      </c>
    </row>
    <row r="10" spans="1:32" s="3" customFormat="1" ht="35.15" customHeight="1" x14ac:dyDescent="0.5">
      <c r="A10" s="24" t="str">
        <f>HLOOKUP($AB$4,Drivers!$A$1:$H$34,C10+1)</f>
        <v>REY'DS/PIPER</v>
      </c>
      <c r="B10" s="15">
        <f t="shared" si="0"/>
        <v>46026</v>
      </c>
      <c r="C10" s="29">
        <v>3</v>
      </c>
      <c r="D10" s="5">
        <v>54.31</v>
      </c>
      <c r="E10" s="10" t="s">
        <v>0</v>
      </c>
      <c r="F10" s="10" t="s">
        <v>0</v>
      </c>
      <c r="G10" s="11" t="s">
        <v>15</v>
      </c>
      <c r="H10" s="10" t="s">
        <v>0</v>
      </c>
      <c r="I10" s="8">
        <f>VLOOKUP(K10,'Monday Turns'!$A$5:$C$13,2,TRUE)</f>
        <v>0.70972222222222225</v>
      </c>
      <c r="J10" s="8">
        <f>VLOOKUP(K10,'Monday Turns'!$A$5:$C$13,3,TRUE)</f>
        <v>9.0277777777777769E-3</v>
      </c>
      <c r="K10" s="9" t="s">
        <v>91</v>
      </c>
      <c r="L10" s="8">
        <f>MOD(J10-I10,1)</f>
        <v>0.29930555555555549</v>
      </c>
      <c r="M10" s="6">
        <v>0.78333333333333333</v>
      </c>
      <c r="N10" s="6">
        <v>0.2</v>
      </c>
      <c r="O10" s="7" t="s">
        <v>14</v>
      </c>
      <c r="P10" s="6">
        <f>MOD(N10-M10,1)</f>
        <v>0.41666666666666674</v>
      </c>
      <c r="Q10" s="6">
        <v>0.78333333333333333</v>
      </c>
      <c r="R10" s="6">
        <v>0.2</v>
      </c>
      <c r="S10" s="7" t="s">
        <v>14</v>
      </c>
      <c r="T10" s="6">
        <f>MOD(R10-Q10,1)</f>
        <v>0.41666666666666674</v>
      </c>
      <c r="U10" s="6">
        <v>0.78333333333333333</v>
      </c>
      <c r="V10" s="6">
        <v>0.2</v>
      </c>
      <c r="W10" s="7" t="s">
        <v>14</v>
      </c>
      <c r="X10" s="6">
        <f>MOD(V10-U10,1)</f>
        <v>0.41666666666666674</v>
      </c>
      <c r="Y10" s="8">
        <f>VLOOKUP(AA10,'Friday Turns'!$A$5:$C$13,2,TRUE)</f>
        <v>0.8208333333333333</v>
      </c>
      <c r="Z10" s="8">
        <f>VLOOKUP(AA10,'Friday Turns'!$A$5:$C$13,3,TRUE)</f>
        <v>0.16805555555555557</v>
      </c>
      <c r="AA10" s="9" t="s">
        <v>20</v>
      </c>
      <c r="AB10" s="8">
        <f>MOD(Z10-Y10,1)</f>
        <v>0.34722222222222232</v>
      </c>
      <c r="AC10" s="8">
        <f>VLOOKUP(AE10,'Saturday Turns'!$A$5:$C$13,2,TRUE)</f>
        <v>0.70972222222222225</v>
      </c>
      <c r="AD10" s="8">
        <f>VLOOKUP(AE10,'Saturday Turns'!$A$5:$C$13,3,TRUE)</f>
        <v>6.5277777777777782E-2</v>
      </c>
      <c r="AE10" s="9" t="s">
        <v>22</v>
      </c>
      <c r="AF10" s="8">
        <f>MOD(AD10-AC10,1)</f>
        <v>0.35555555555555551</v>
      </c>
    </row>
    <row r="11" spans="1:32" s="3" customFormat="1" ht="35.15" customHeight="1" x14ac:dyDescent="0.5">
      <c r="A11" s="24" t="str">
        <f>HLOOKUP($AB$4,Drivers!$A$1:$H$34,C11+1)</f>
        <v>GRESSWELL</v>
      </c>
      <c r="B11" s="15">
        <f t="shared" si="0"/>
        <v>46033</v>
      </c>
      <c r="C11" s="29">
        <v>4</v>
      </c>
      <c r="D11" s="5">
        <v>24.48</v>
      </c>
      <c r="E11" s="10" t="s">
        <v>0</v>
      </c>
      <c r="F11" s="10" t="s">
        <v>0</v>
      </c>
      <c r="G11" s="11" t="s">
        <v>15</v>
      </c>
      <c r="H11" s="10" t="s">
        <v>0</v>
      </c>
      <c r="I11" s="10" t="s">
        <v>0</v>
      </c>
      <c r="J11" s="10" t="s">
        <v>0</v>
      </c>
      <c r="K11" s="11" t="s">
        <v>15</v>
      </c>
      <c r="L11" s="10" t="s">
        <v>0</v>
      </c>
      <c r="M11" s="10" t="s">
        <v>0</v>
      </c>
      <c r="N11" s="10" t="s">
        <v>0</v>
      </c>
      <c r="O11" s="11" t="s">
        <v>15</v>
      </c>
      <c r="P11" s="10" t="s">
        <v>0</v>
      </c>
      <c r="Q11" s="10" t="s">
        <v>0</v>
      </c>
      <c r="R11" s="10" t="s">
        <v>0</v>
      </c>
      <c r="S11" s="11" t="s">
        <v>15</v>
      </c>
      <c r="T11" s="10" t="s">
        <v>0</v>
      </c>
      <c r="U11" s="8">
        <f>VLOOKUP(W11,'Thursday Turns'!$A$5:$C$13,2,TRUE)</f>
        <v>0.24374999999999999</v>
      </c>
      <c r="V11" s="8">
        <f>VLOOKUP(W11,'Thursday Turns'!$A$5:$C$13,3,TRUE)</f>
        <v>0.58263888888888893</v>
      </c>
      <c r="W11" s="9" t="s">
        <v>26</v>
      </c>
      <c r="X11" s="8">
        <f>MOD(V11-U11,1)</f>
        <v>0.33888888888888891</v>
      </c>
      <c r="Y11" s="6">
        <v>0.26944444444444443</v>
      </c>
      <c r="Z11" s="6">
        <v>0.68611111111111101</v>
      </c>
      <c r="AA11" s="7" t="s">
        <v>14</v>
      </c>
      <c r="AB11" s="6">
        <f>MOD(Z11-Y11,1)</f>
        <v>0.41666666666666657</v>
      </c>
      <c r="AC11" s="6">
        <v>0.34027777777777779</v>
      </c>
      <c r="AD11" s="6">
        <v>0.75694444444444442</v>
      </c>
      <c r="AE11" s="7" t="s">
        <v>14</v>
      </c>
      <c r="AF11" s="6">
        <f>MOD(AD11-AC11,1)</f>
        <v>0.41666666666666663</v>
      </c>
    </row>
    <row r="12" spans="1:32" s="3" customFormat="1" ht="35.15" customHeight="1" x14ac:dyDescent="0.5">
      <c r="A12" s="24" t="str">
        <f>HLOOKUP($AB$4,Drivers!$A$1:$H$34,C12+1)</f>
        <v>EDWARDS</v>
      </c>
      <c r="B12" s="15">
        <f t="shared" si="0"/>
        <v>46040</v>
      </c>
      <c r="C12" s="29">
        <v>5</v>
      </c>
      <c r="D12" s="5">
        <v>32.340000000000003</v>
      </c>
      <c r="E12" s="8">
        <f>VLOOKUP(G12,'Sunday Turns'!$A$5:$C$12,2,TRUE)</f>
        <v>0.37152777777777779</v>
      </c>
      <c r="F12" s="8">
        <f>VLOOKUP(G12,'Sunday Turns'!$A$5:$C$12,3,TRUE)</f>
        <v>0.66666666666666663</v>
      </c>
      <c r="G12" s="9" t="s">
        <v>35</v>
      </c>
      <c r="H12" s="8">
        <f>MOD(F12-E12,1)</f>
        <v>0.29513888888888884</v>
      </c>
      <c r="I12" s="6">
        <v>0.18611111111111112</v>
      </c>
      <c r="J12" s="6">
        <v>0.56111111111111112</v>
      </c>
      <c r="K12" s="7" t="s">
        <v>14</v>
      </c>
      <c r="L12" s="6">
        <f>MOD(J12-I12,1)</f>
        <v>0.375</v>
      </c>
      <c r="M12" s="10" t="s">
        <v>0</v>
      </c>
      <c r="N12" s="10" t="s">
        <v>0</v>
      </c>
      <c r="O12" s="11" t="s">
        <v>15</v>
      </c>
      <c r="P12" s="10" t="s">
        <v>0</v>
      </c>
      <c r="Q12" s="10" t="s">
        <v>0</v>
      </c>
      <c r="R12" s="10" t="s">
        <v>0</v>
      </c>
      <c r="S12" s="11" t="s">
        <v>15</v>
      </c>
      <c r="T12" s="10" t="s">
        <v>0</v>
      </c>
      <c r="U12" s="10" t="s">
        <v>0</v>
      </c>
      <c r="V12" s="10" t="s">
        <v>0</v>
      </c>
      <c r="W12" s="11" t="s">
        <v>15</v>
      </c>
      <c r="X12" s="10" t="s">
        <v>0</v>
      </c>
      <c r="Y12" s="6">
        <v>0.54097222222222219</v>
      </c>
      <c r="Z12" s="6">
        <v>0.95763888888888893</v>
      </c>
      <c r="AA12" s="7" t="s">
        <v>14</v>
      </c>
      <c r="AB12" s="6">
        <f>MOD(Z12-Y12,1)</f>
        <v>0.41666666666666674</v>
      </c>
      <c r="AC12" s="6">
        <v>0.54097222222222219</v>
      </c>
      <c r="AD12" s="6">
        <v>0.95763888888888893</v>
      </c>
      <c r="AE12" s="7" t="s">
        <v>14</v>
      </c>
      <c r="AF12" s="6">
        <f>MOD(AD12-AC12,1)</f>
        <v>0.41666666666666674</v>
      </c>
    </row>
    <row r="13" spans="1:32" s="3" customFormat="1" ht="35.15" customHeight="1" x14ac:dyDescent="0.5">
      <c r="A13" s="24" t="str">
        <f>HLOOKUP($AB$4,Drivers!$A$1:$H$34,C13+1)</f>
        <v>HOLMES</v>
      </c>
      <c r="B13" s="15">
        <f t="shared" si="0"/>
        <v>46047</v>
      </c>
      <c r="C13" s="29">
        <v>6</v>
      </c>
      <c r="D13" s="5">
        <v>34.53</v>
      </c>
      <c r="E13" s="8">
        <f>VLOOKUP(G13,'Sunday Turns'!$A$5:$C$12,2,TRUE)</f>
        <v>0.625</v>
      </c>
      <c r="F13" s="8">
        <f>VLOOKUP(G13,'Sunday Turns'!$A$5:$C$12,3,TRUE)</f>
        <v>6.9444444444444447E-4</v>
      </c>
      <c r="G13" s="9" t="s">
        <v>84</v>
      </c>
      <c r="H13" s="8">
        <f>MOD(F13-E13,1)</f>
        <v>0.37569444444444444</v>
      </c>
      <c r="I13" s="8">
        <f>VLOOKUP(K13,'Monday Turns'!$A$5:$C$13,2,TRUE)</f>
        <v>0.58333333333333337</v>
      </c>
      <c r="J13" s="8">
        <f>VLOOKUP(K13,'Monday Turns'!$A$5:$C$13,3,TRUE)</f>
        <v>0.98124999999999996</v>
      </c>
      <c r="K13" s="9" t="s">
        <v>16</v>
      </c>
      <c r="L13" s="8">
        <f>MOD(J13-I13,1)</f>
        <v>0.39791666666666659</v>
      </c>
      <c r="M13" s="8">
        <f>VLOOKUP(O13,'Tuesday Turns'!$A$5:$C$13,2,TRUE)</f>
        <v>0.5</v>
      </c>
      <c r="N13" s="8">
        <f>VLOOKUP(O13,'Tuesday Turns'!$A$5:$C$13,3,TRUE)</f>
        <v>0.70833333333333337</v>
      </c>
      <c r="O13" s="9" t="s">
        <v>24</v>
      </c>
      <c r="P13" s="8">
        <f>MOD(N13-M13,1)</f>
        <v>0.20833333333333337</v>
      </c>
      <c r="Q13" s="10" t="s">
        <v>0</v>
      </c>
      <c r="R13" s="10" t="s">
        <v>0</v>
      </c>
      <c r="S13" s="11" t="s">
        <v>15</v>
      </c>
      <c r="T13" s="10" t="s">
        <v>0</v>
      </c>
      <c r="U13" s="10" t="s">
        <v>0</v>
      </c>
      <c r="V13" s="10" t="s">
        <v>0</v>
      </c>
      <c r="W13" s="11" t="s">
        <v>15</v>
      </c>
      <c r="X13" s="10" t="s">
        <v>0</v>
      </c>
      <c r="Y13" s="10" t="s">
        <v>0</v>
      </c>
      <c r="Z13" s="10" t="s">
        <v>0</v>
      </c>
      <c r="AA13" s="11" t="s">
        <v>15</v>
      </c>
      <c r="AB13" s="10" t="s">
        <v>0</v>
      </c>
      <c r="AC13" s="8">
        <f>VLOOKUP(AE13,'Saturday Turns'!$A$5:$C$13,2,TRUE)</f>
        <v>0.24374999999999999</v>
      </c>
      <c r="AD13" s="8">
        <f>VLOOKUP(AE13,'Saturday Turns'!$A$5:$C$13,3,TRUE)</f>
        <v>0.58263888888888893</v>
      </c>
      <c r="AE13" s="9" t="s">
        <v>19</v>
      </c>
      <c r="AF13" s="8">
        <f>MOD(AD13-AC13,1)</f>
        <v>0.33888888888888891</v>
      </c>
    </row>
    <row r="14" spans="1:32" s="3" customFormat="1" ht="35.15" customHeight="1" x14ac:dyDescent="0.5">
      <c r="A14" s="24" t="str">
        <f>HLOOKUP($AB$4,Drivers!$A$1:$H$34,C14+1)</f>
        <v>MATHIESON</v>
      </c>
      <c r="B14" s="15">
        <f t="shared" si="0"/>
        <v>46054</v>
      </c>
      <c r="C14" s="29">
        <v>7</v>
      </c>
      <c r="D14" s="5">
        <v>32.18</v>
      </c>
      <c r="E14" s="6">
        <v>0.35416666666666669</v>
      </c>
      <c r="F14" s="6">
        <v>0.77083333333333337</v>
      </c>
      <c r="G14" s="7" t="s">
        <v>14</v>
      </c>
      <c r="H14" s="6">
        <f>MOD(F14-E14,1)</f>
        <v>0.41666666666666669</v>
      </c>
      <c r="I14" s="6">
        <v>0.33958333333333335</v>
      </c>
      <c r="J14" s="6">
        <v>0.75624999999999998</v>
      </c>
      <c r="K14" s="7" t="s">
        <v>14</v>
      </c>
      <c r="L14" s="6">
        <f>MOD(J14-I14,1)</f>
        <v>0.41666666666666663</v>
      </c>
      <c r="M14" s="6">
        <v>0.3666666666666667</v>
      </c>
      <c r="N14" s="6">
        <v>0.78333333333333333</v>
      </c>
      <c r="O14" s="7" t="s">
        <v>14</v>
      </c>
      <c r="P14" s="6">
        <f>MOD(N14-M14,1)</f>
        <v>0.41666666666666663</v>
      </c>
      <c r="Q14" s="10" t="s">
        <v>0</v>
      </c>
      <c r="R14" s="10" t="s">
        <v>0</v>
      </c>
      <c r="S14" s="11" t="s">
        <v>15</v>
      </c>
      <c r="T14" s="10" t="s">
        <v>0</v>
      </c>
      <c r="U14" s="10" t="s">
        <v>0</v>
      </c>
      <c r="V14" s="10" t="s">
        <v>0</v>
      </c>
      <c r="W14" s="11" t="s">
        <v>15</v>
      </c>
      <c r="X14" s="10" t="s">
        <v>0</v>
      </c>
      <c r="Y14" s="10" t="s">
        <v>0</v>
      </c>
      <c r="Z14" s="10" t="s">
        <v>0</v>
      </c>
      <c r="AA14" s="11" t="s">
        <v>15</v>
      </c>
      <c r="AB14" s="10" t="s">
        <v>0</v>
      </c>
      <c r="AC14" s="10" t="s">
        <v>0</v>
      </c>
      <c r="AD14" s="10" t="s">
        <v>0</v>
      </c>
      <c r="AE14" s="11" t="s">
        <v>15</v>
      </c>
      <c r="AF14" s="10" t="s">
        <v>0</v>
      </c>
    </row>
    <row r="15" spans="1:32" s="3" customFormat="1" ht="35.15" customHeight="1" x14ac:dyDescent="0.5">
      <c r="A15" s="24" t="str">
        <f>HLOOKUP($AB$4,Drivers!$A$1:$H$34,C15+1)</f>
        <v>HUNTLEY</v>
      </c>
      <c r="B15" s="15">
        <f t="shared" si="0"/>
        <v>46061</v>
      </c>
      <c r="C15" s="29">
        <v>8</v>
      </c>
      <c r="D15" s="5">
        <v>52.06</v>
      </c>
      <c r="E15" s="10" t="s">
        <v>0</v>
      </c>
      <c r="F15" s="10" t="s">
        <v>0</v>
      </c>
      <c r="G15" s="11" t="s">
        <v>15</v>
      </c>
      <c r="H15" s="10" t="s">
        <v>0</v>
      </c>
      <c r="I15" s="10" t="s">
        <v>0</v>
      </c>
      <c r="J15" s="10" t="s">
        <v>0</v>
      </c>
      <c r="K15" s="11" t="s">
        <v>15</v>
      </c>
      <c r="L15" s="10" t="s">
        <v>0</v>
      </c>
      <c r="M15" s="8">
        <f>VLOOKUP(O15,'Tuesday Turns'!$A$5:$C$13,2,TRUE)</f>
        <v>0.66805555555555551</v>
      </c>
      <c r="N15" s="8">
        <f>VLOOKUP(O15,'Tuesday Turns'!$A$5:$C$13,3,TRUE)</f>
        <v>1.0416666666666666E-2</v>
      </c>
      <c r="O15" s="9" t="s">
        <v>29</v>
      </c>
      <c r="P15" s="8">
        <f>MOD(N15-M15,1)</f>
        <v>0.34236111111111112</v>
      </c>
      <c r="Q15" s="39">
        <v>0.52083333333333337</v>
      </c>
      <c r="R15" s="39">
        <v>0.89583333333333337</v>
      </c>
      <c r="S15" s="40" t="s">
        <v>97</v>
      </c>
      <c r="T15" s="39">
        <f t="shared" ref="T15" si="1">MOD(R15-Q15,1)</f>
        <v>0.375</v>
      </c>
      <c r="U15" s="6">
        <v>0.66527777777777775</v>
      </c>
      <c r="V15" s="6">
        <v>8.1944444444444445E-2</v>
      </c>
      <c r="W15" s="7" t="s">
        <v>14</v>
      </c>
      <c r="X15" s="6">
        <f>MOD(V15-U15,1)</f>
        <v>0.41666666666666674</v>
      </c>
      <c r="Y15" s="8">
        <f>VLOOKUP(AA15,'Friday Turns'!$A$5:$C$13,2,TRUE)</f>
        <v>0.66805555555555551</v>
      </c>
      <c r="Z15" s="8">
        <f>VLOOKUP(AA15,'Friday Turns'!$A$5:$C$13,3,TRUE)</f>
        <v>1.0416666666666666E-2</v>
      </c>
      <c r="AA15" s="9" t="s">
        <v>29</v>
      </c>
      <c r="AB15" s="8">
        <f>MOD(Z15-Y15,1)</f>
        <v>0.34236111111111112</v>
      </c>
      <c r="AC15" s="8">
        <f>VLOOKUP(AE15,'Saturday Turns'!$A$5:$C$13,2,TRUE)</f>
        <v>0.58333333333333337</v>
      </c>
      <c r="AD15" s="8">
        <f>VLOOKUP(AE15,'Saturday Turns'!$A$5:$C$13,3,TRUE)</f>
        <v>0.96666666666666667</v>
      </c>
      <c r="AE15" s="9" t="s">
        <v>32</v>
      </c>
      <c r="AF15" s="8">
        <f>MOD(AD15-AC15,1)</f>
        <v>0.3833333333333333</v>
      </c>
    </row>
    <row r="16" spans="1:32" s="3" customFormat="1" ht="35.15" customHeight="1" x14ac:dyDescent="0.5">
      <c r="A16" s="24" t="str">
        <f>HLOOKUP($AB$4,Drivers!$A$1:$H$34,C16+1)</f>
        <v>BELL</v>
      </c>
      <c r="B16" s="15">
        <f t="shared" si="0"/>
        <v>46068</v>
      </c>
      <c r="C16" s="29">
        <v>9</v>
      </c>
      <c r="D16" s="5">
        <v>19.010000000000002</v>
      </c>
      <c r="E16" s="10" t="s">
        <v>0</v>
      </c>
      <c r="F16" s="10" t="s">
        <v>0</v>
      </c>
      <c r="G16" s="11" t="s">
        <v>15</v>
      </c>
      <c r="H16" s="10" t="s">
        <v>0</v>
      </c>
      <c r="I16" s="10" t="s">
        <v>0</v>
      </c>
      <c r="J16" s="10" t="s">
        <v>0</v>
      </c>
      <c r="K16" s="11" t="s">
        <v>15</v>
      </c>
      <c r="L16" s="10" t="s">
        <v>0</v>
      </c>
      <c r="M16" s="10" t="s">
        <v>0</v>
      </c>
      <c r="N16" s="10" t="s">
        <v>0</v>
      </c>
      <c r="O16" s="11" t="s">
        <v>15</v>
      </c>
      <c r="P16" s="10" t="s">
        <v>0</v>
      </c>
      <c r="Q16" s="10" t="s">
        <v>0</v>
      </c>
      <c r="R16" s="10" t="s">
        <v>0</v>
      </c>
      <c r="S16" s="11" t="s">
        <v>15</v>
      </c>
      <c r="T16" s="10" t="s">
        <v>0</v>
      </c>
      <c r="U16" s="8">
        <f>VLOOKUP(W16,'Thursday Turns'!$A$5:$C$13,2,TRUE)</f>
        <v>0.19027777777777777</v>
      </c>
      <c r="V16" s="8">
        <f>VLOOKUP(W16,'Thursday Turns'!$A$5:$C$13,3,TRUE)</f>
        <v>0.54097222222222219</v>
      </c>
      <c r="W16" s="9" t="s">
        <v>25</v>
      </c>
      <c r="X16" s="8">
        <f t="shared" ref="X16" si="2">MOD(V16-U16,1)</f>
        <v>0.35069444444444442</v>
      </c>
      <c r="Y16" s="8">
        <f>VLOOKUP(AA16,'Friday Turns'!$A$5:$C$13,2,TRUE)</f>
        <v>0.24374999999999999</v>
      </c>
      <c r="Z16" s="8">
        <f>VLOOKUP(AA16,'Friday Turns'!$A$5:$C$13,3,TRUE)</f>
        <v>0.58263888888888893</v>
      </c>
      <c r="AA16" s="9" t="s">
        <v>26</v>
      </c>
      <c r="AB16" s="8">
        <f>MOD(Z16-Y16,1)</f>
        <v>0.33888888888888891</v>
      </c>
      <c r="AC16" s="6">
        <v>0.24166666666666667</v>
      </c>
      <c r="AD16" s="6">
        <v>0.65833333333333333</v>
      </c>
      <c r="AE16" s="7" t="s">
        <v>14</v>
      </c>
      <c r="AF16" s="6">
        <f>MOD(AD16-AC16,1)</f>
        <v>0.41666666666666663</v>
      </c>
    </row>
    <row r="17" spans="1:32" s="3" customFormat="1" ht="35.15" customHeight="1" x14ac:dyDescent="0.5">
      <c r="A17" s="24" t="str">
        <f>HLOOKUP($AB$4,Drivers!$A$1:$H$34,C17+1)</f>
        <v>MILLER</v>
      </c>
      <c r="B17" s="15">
        <f t="shared" si="0"/>
        <v>46075</v>
      </c>
      <c r="C17" s="29">
        <v>10</v>
      </c>
      <c r="D17" s="5">
        <v>37.29</v>
      </c>
      <c r="E17" s="8">
        <f>VLOOKUP(G17,'Sunday Turns'!$A$5:$C$12,2,TRUE)</f>
        <v>0.41319444444444442</v>
      </c>
      <c r="F17" s="8">
        <f>VLOOKUP(G17,'Sunday Turns'!$A$5:$C$12,3,TRUE)</f>
        <v>0.75138888888888888</v>
      </c>
      <c r="G17" s="9" t="s">
        <v>23</v>
      </c>
      <c r="H17" s="8">
        <f>MOD(F17-E17,1)</f>
        <v>0.33819444444444446</v>
      </c>
      <c r="I17" s="8">
        <f>VLOOKUP(K17,'Monday Turns'!$A$5:$C$13,2,TRUE)</f>
        <v>0.28819444444444442</v>
      </c>
      <c r="J17" s="8">
        <f>VLOOKUP(K17,'Monday Turns'!$A$5:$C$13,3,TRUE)</f>
        <v>0.49930555555555556</v>
      </c>
      <c r="K17" s="9" t="s">
        <v>17</v>
      </c>
      <c r="L17" s="8">
        <f>MOD(J17-I17,1)</f>
        <v>0.21111111111111114</v>
      </c>
      <c r="M17" s="10" t="s">
        <v>0</v>
      </c>
      <c r="N17" s="10" t="s">
        <v>0</v>
      </c>
      <c r="O17" s="11" t="s">
        <v>15</v>
      </c>
      <c r="P17" s="10" t="s">
        <v>0</v>
      </c>
      <c r="Q17" s="10" t="s">
        <v>0</v>
      </c>
      <c r="R17" s="10" t="s">
        <v>0</v>
      </c>
      <c r="S17" s="11" t="s">
        <v>15</v>
      </c>
      <c r="T17" s="10" t="s">
        <v>0</v>
      </c>
      <c r="U17" s="10" t="s">
        <v>0</v>
      </c>
      <c r="V17" s="10" t="s">
        <v>0</v>
      </c>
      <c r="W17" s="11" t="s">
        <v>15</v>
      </c>
      <c r="X17" s="10" t="s">
        <v>0</v>
      </c>
      <c r="Y17" s="6">
        <v>0.6645833333333333</v>
      </c>
      <c r="Z17" s="6">
        <v>7.7083333333333337E-2</v>
      </c>
      <c r="AA17" s="7" t="s">
        <v>14</v>
      </c>
      <c r="AB17" s="6">
        <f>MOD(Z17-Y17,1)</f>
        <v>0.41250000000000009</v>
      </c>
      <c r="AC17" s="6">
        <v>0.78263888888888899</v>
      </c>
      <c r="AD17" s="6">
        <v>0.19236111111111112</v>
      </c>
      <c r="AE17" s="7" t="s">
        <v>14</v>
      </c>
      <c r="AF17" s="6">
        <f>MOD(AD17-AC17,1)</f>
        <v>0.4097222222222221</v>
      </c>
    </row>
    <row r="18" spans="1:32" s="3" customFormat="1" ht="35.15" customHeight="1" x14ac:dyDescent="0.5">
      <c r="A18" s="24" t="str">
        <f>HLOOKUP($AB$4,Drivers!$A$1:$H$34,C18+1)</f>
        <v>GORGE</v>
      </c>
      <c r="B18" s="15">
        <f t="shared" si="0"/>
        <v>46082</v>
      </c>
      <c r="C18" s="29">
        <v>11</v>
      </c>
      <c r="D18" s="5">
        <v>36.22</v>
      </c>
      <c r="E18" s="6">
        <v>0.70138888888888884</v>
      </c>
      <c r="F18" s="6">
        <v>0.1111111111111111</v>
      </c>
      <c r="G18" s="7" t="s">
        <v>14</v>
      </c>
      <c r="H18" s="6">
        <f>MOD(F18-E18,1)</f>
        <v>0.40972222222222232</v>
      </c>
      <c r="I18" s="6">
        <v>0.66527777777777775</v>
      </c>
      <c r="J18" s="6">
        <v>7.8472222222222221E-2</v>
      </c>
      <c r="K18" s="7" t="s">
        <v>14</v>
      </c>
      <c r="L18" s="6">
        <f>MOD(J18-I18,1)</f>
        <v>0.41319444444444442</v>
      </c>
      <c r="M18" s="8">
        <f>VLOOKUP(O18,'Tuesday Turns'!$A$5:$C$13,2,TRUE)</f>
        <v>0.8208333333333333</v>
      </c>
      <c r="N18" s="8">
        <f>VLOOKUP(O18,'Tuesday Turns'!$A$5:$C$13,3,TRUE)</f>
        <v>0.16805555555555557</v>
      </c>
      <c r="O18" s="9" t="s">
        <v>20</v>
      </c>
      <c r="P18" s="8">
        <f>MOD(N18-M18,1)</f>
        <v>0.34722222222222232</v>
      </c>
      <c r="Q18" s="8">
        <f>VLOOKUP(S18,'Wednesday Turns'!$A$5:$C$13,2,TRUE)</f>
        <v>0.70972222222222225</v>
      </c>
      <c r="R18" s="8">
        <f>VLOOKUP(S18,'Wednesday Turns'!$A$5:$C$13,3,TRUE)</f>
        <v>9.0277777777777769E-3</v>
      </c>
      <c r="S18" s="9" t="s">
        <v>91</v>
      </c>
      <c r="T18" s="8">
        <f t="shared" ref="T18:T21" si="3">MOD(R18-Q18,1)</f>
        <v>0.29930555555555549</v>
      </c>
      <c r="U18" s="10" t="s">
        <v>0</v>
      </c>
      <c r="V18" s="10" t="s">
        <v>0</v>
      </c>
      <c r="W18" s="11" t="s">
        <v>15</v>
      </c>
      <c r="X18" s="10" t="s">
        <v>0</v>
      </c>
      <c r="Y18" s="10" t="s">
        <v>0</v>
      </c>
      <c r="Z18" s="10" t="s">
        <v>0</v>
      </c>
      <c r="AA18" s="11" t="s">
        <v>15</v>
      </c>
      <c r="AB18" s="10" t="s">
        <v>0</v>
      </c>
      <c r="AC18" s="10" t="s">
        <v>0</v>
      </c>
      <c r="AD18" s="10" t="s">
        <v>0</v>
      </c>
      <c r="AE18" s="11" t="s">
        <v>15</v>
      </c>
      <c r="AF18" s="10" t="s">
        <v>0</v>
      </c>
    </row>
    <row r="19" spans="1:32" s="3" customFormat="1" ht="35.15" customHeight="1" x14ac:dyDescent="0.5">
      <c r="A19" s="24" t="str">
        <f>HLOOKUP($AB$4,Drivers!$A$1:$H$34,C19+1)</f>
        <v>BAKER</v>
      </c>
      <c r="B19" s="15">
        <f t="shared" si="0"/>
        <v>46089</v>
      </c>
      <c r="C19" s="29">
        <v>12</v>
      </c>
      <c r="D19" s="5">
        <v>39.22</v>
      </c>
      <c r="E19" s="10" t="s">
        <v>0</v>
      </c>
      <c r="F19" s="10" t="s">
        <v>0</v>
      </c>
      <c r="G19" s="11" t="s">
        <v>15</v>
      </c>
      <c r="H19" s="10" t="s">
        <v>0</v>
      </c>
      <c r="I19" s="8">
        <f>VLOOKUP(K19,'Monday Turns'!$A$5:$C$13,2,TRUE)</f>
        <v>0.19027777777777777</v>
      </c>
      <c r="J19" s="8">
        <f>VLOOKUP(K19,'Monday Turns'!$A$5:$C$13,3,TRUE)</f>
        <v>0.54097222222222219</v>
      </c>
      <c r="K19" s="9" t="s">
        <v>25</v>
      </c>
      <c r="L19" s="8">
        <f>MOD(J19-I19,1)</f>
        <v>0.35069444444444442</v>
      </c>
      <c r="M19" s="6">
        <v>0.26944444444444443</v>
      </c>
      <c r="N19" s="6">
        <v>0.68611111111111101</v>
      </c>
      <c r="O19" s="7" t="s">
        <v>14</v>
      </c>
      <c r="P19" s="6">
        <f>MOD(N19-M19,1)</f>
        <v>0.41666666666666657</v>
      </c>
      <c r="Q19" s="6">
        <v>0.26944444444444443</v>
      </c>
      <c r="R19" s="6">
        <v>0.68611111111111101</v>
      </c>
      <c r="S19" s="7" t="s">
        <v>14</v>
      </c>
      <c r="T19" s="6">
        <f>MOD(R19-Q19,1)</f>
        <v>0.41666666666666657</v>
      </c>
      <c r="U19" s="6">
        <v>0.18611111111111112</v>
      </c>
      <c r="V19" s="6">
        <v>0.56111111111111112</v>
      </c>
      <c r="W19" s="7" t="s">
        <v>14</v>
      </c>
      <c r="X19" s="6">
        <f>MOD(V19-U19,1)</f>
        <v>0.375</v>
      </c>
      <c r="Y19" s="8">
        <f>VLOOKUP(AA19,'Friday Turns'!$A$5:$C$13,2,TRUE)</f>
        <v>0.28819444444444442</v>
      </c>
      <c r="Z19" s="8">
        <f>VLOOKUP(AA19,'Friday Turns'!$A$5:$C$13,3,TRUE)</f>
        <v>0.49930555555555556</v>
      </c>
      <c r="AA19" s="9" t="s">
        <v>17</v>
      </c>
      <c r="AB19" s="8">
        <f>MOD(Z19-Y19,1)</f>
        <v>0.21111111111111114</v>
      </c>
      <c r="AC19" s="10" t="s">
        <v>0</v>
      </c>
      <c r="AD19" s="10" t="s">
        <v>0</v>
      </c>
      <c r="AE19" s="11" t="s">
        <v>15</v>
      </c>
      <c r="AF19" s="10" t="s">
        <v>0</v>
      </c>
    </row>
    <row r="20" spans="1:32" s="3" customFormat="1" ht="35.15" customHeight="1" x14ac:dyDescent="0.5">
      <c r="A20" s="24" t="str">
        <f>HLOOKUP($AB$4,Drivers!$A$1:$H$34,C20+1)</f>
        <v>KEEGANS</v>
      </c>
      <c r="B20" s="15">
        <f t="shared" si="0"/>
        <v>46096</v>
      </c>
      <c r="C20" s="29">
        <v>13</v>
      </c>
      <c r="D20" s="5">
        <v>45.33</v>
      </c>
      <c r="E20" s="10" t="s">
        <v>0</v>
      </c>
      <c r="F20" s="10" t="s">
        <v>0</v>
      </c>
      <c r="G20" s="11" t="s">
        <v>15</v>
      </c>
      <c r="H20" s="10" t="s">
        <v>0</v>
      </c>
      <c r="I20" s="10" t="s">
        <v>0</v>
      </c>
      <c r="J20" s="10" t="s">
        <v>0</v>
      </c>
      <c r="K20" s="11" t="s">
        <v>15</v>
      </c>
      <c r="L20" s="10" t="s">
        <v>0</v>
      </c>
      <c r="M20" s="6">
        <v>0.5625</v>
      </c>
      <c r="N20" s="6">
        <v>0.97916666666666663</v>
      </c>
      <c r="O20" s="7" t="s">
        <v>14</v>
      </c>
      <c r="P20" s="6">
        <f>MOD(N20-M20,1)</f>
        <v>0.41666666666666663</v>
      </c>
      <c r="Q20" s="6">
        <v>0.5</v>
      </c>
      <c r="R20" s="6">
        <v>0.91666666666666663</v>
      </c>
      <c r="S20" s="7" t="s">
        <v>14</v>
      </c>
      <c r="T20" s="6">
        <f>MOD(R20-Q20,1)</f>
        <v>0.41666666666666663</v>
      </c>
      <c r="U20" s="6">
        <v>0.58124999999999993</v>
      </c>
      <c r="V20" s="6">
        <v>0.99791666666666667</v>
      </c>
      <c r="W20" s="7" t="s">
        <v>14</v>
      </c>
      <c r="X20" s="6">
        <f>MOD(V20-U20,1)</f>
        <v>0.41666666666666674</v>
      </c>
      <c r="Y20" s="8">
        <f>VLOOKUP(AA20,'Friday Turns'!$A$5:$C$13,2,TRUE)</f>
        <v>0.58333333333333337</v>
      </c>
      <c r="Z20" s="8">
        <f>VLOOKUP(AA20,'Friday Turns'!$A$5:$C$13,3,TRUE)</f>
        <v>0.98124999999999996</v>
      </c>
      <c r="AA20" s="9" t="s">
        <v>16</v>
      </c>
      <c r="AB20" s="8">
        <f>MOD(Z20-Y20,1)</f>
        <v>0.39791666666666659</v>
      </c>
      <c r="AC20" s="8">
        <f>VLOOKUP(AE20,'Saturday Turns'!$A$5:$C$13,2,TRUE)</f>
        <v>0.5</v>
      </c>
      <c r="AD20" s="8">
        <f>VLOOKUP(AE20,'Saturday Turns'!$A$5:$C$13,3,TRUE)</f>
        <v>0.70833333333333337</v>
      </c>
      <c r="AE20" s="9" t="s">
        <v>30</v>
      </c>
      <c r="AF20" s="8">
        <f>MOD(AD20-AC20,1)</f>
        <v>0.20833333333333337</v>
      </c>
    </row>
    <row r="21" spans="1:32" s="3" customFormat="1" ht="35.15" customHeight="1" x14ac:dyDescent="0.5">
      <c r="A21" s="24" t="str">
        <f>HLOOKUP($AB$4,Drivers!$A$1:$H$34,C21+1)</f>
        <v>WOOD</v>
      </c>
      <c r="B21" s="15">
        <f t="shared" si="0"/>
        <v>46103</v>
      </c>
      <c r="C21" s="29">
        <v>14</v>
      </c>
      <c r="D21" s="5">
        <v>33.57</v>
      </c>
      <c r="E21" s="10" t="s">
        <v>0</v>
      </c>
      <c r="F21" s="10" t="s">
        <v>0</v>
      </c>
      <c r="G21" s="11" t="s">
        <v>15</v>
      </c>
      <c r="H21" s="10" t="s">
        <v>0</v>
      </c>
      <c r="I21" s="10" t="s">
        <v>0</v>
      </c>
      <c r="J21" s="10" t="s">
        <v>0</v>
      </c>
      <c r="K21" s="11" t="s">
        <v>15</v>
      </c>
      <c r="L21" s="10" t="s">
        <v>0</v>
      </c>
      <c r="M21" s="10" t="s">
        <v>0</v>
      </c>
      <c r="N21" s="10" t="s">
        <v>0</v>
      </c>
      <c r="O21" s="11" t="s">
        <v>15</v>
      </c>
      <c r="P21" s="10" t="s">
        <v>0</v>
      </c>
      <c r="Q21" s="8">
        <f>VLOOKUP(S21,'Wednesday Turns'!$A$5:$C$13,2,TRUE)</f>
        <v>0.19027777777777777</v>
      </c>
      <c r="R21" s="8">
        <f>VLOOKUP(S21,'Wednesday Turns'!$A$5:$C$13,3,TRUE)</f>
        <v>0.54097222222222219</v>
      </c>
      <c r="S21" s="9" t="s">
        <v>25</v>
      </c>
      <c r="T21" s="8">
        <f t="shared" si="3"/>
        <v>0.35069444444444442</v>
      </c>
      <c r="U21" s="6">
        <v>0.26944444444444443</v>
      </c>
      <c r="V21" s="6">
        <v>0.68611111111111101</v>
      </c>
      <c r="W21" s="7" t="s">
        <v>14</v>
      </c>
      <c r="X21" s="6">
        <f>MOD(V21-U21,1)</f>
        <v>0.41666666666666657</v>
      </c>
      <c r="Y21" s="6">
        <v>0.24166666666666667</v>
      </c>
      <c r="Z21" s="6">
        <v>0.65833333333333333</v>
      </c>
      <c r="AA21" s="7" t="s">
        <v>14</v>
      </c>
      <c r="AB21" s="6">
        <f>MOD(Z21-Y21,1)</f>
        <v>0.41666666666666663</v>
      </c>
      <c r="AC21" s="6">
        <v>0.26944444444444443</v>
      </c>
      <c r="AD21" s="6">
        <v>0.68611111111111101</v>
      </c>
      <c r="AE21" s="7" t="s">
        <v>14</v>
      </c>
      <c r="AF21" s="6">
        <f>MOD(AD21-AC21,1)</f>
        <v>0.41666666666666657</v>
      </c>
    </row>
    <row r="22" spans="1:32" s="3" customFormat="1" ht="35.15" customHeight="1" x14ac:dyDescent="0.5">
      <c r="A22" s="24" t="str">
        <f>HLOOKUP($AB$4,Drivers!$A$1:$H$34,C22+1)</f>
        <v>PERRY</v>
      </c>
      <c r="B22" s="15">
        <f t="shared" si="0"/>
        <v>46110</v>
      </c>
      <c r="C22" s="29">
        <v>15</v>
      </c>
      <c r="D22" s="5">
        <v>18.48</v>
      </c>
      <c r="E22" s="10" t="s">
        <v>0</v>
      </c>
      <c r="F22" s="10" t="s">
        <v>0</v>
      </c>
      <c r="G22" s="11" t="s">
        <v>15</v>
      </c>
      <c r="H22" s="10" t="s">
        <v>0</v>
      </c>
      <c r="I22" s="10" t="s">
        <v>0</v>
      </c>
      <c r="J22" s="10" t="s">
        <v>0</v>
      </c>
      <c r="K22" s="11" t="s">
        <v>15</v>
      </c>
      <c r="L22" s="10" t="s">
        <v>0</v>
      </c>
      <c r="M22" s="10" t="s">
        <v>0</v>
      </c>
      <c r="N22" s="10" t="s">
        <v>0</v>
      </c>
      <c r="O22" s="11" t="s">
        <v>15</v>
      </c>
      <c r="P22" s="10" t="s">
        <v>0</v>
      </c>
      <c r="Q22" s="6">
        <v>0.58124999999999993</v>
      </c>
      <c r="R22" s="6">
        <v>0.99791666666666667</v>
      </c>
      <c r="S22" s="7" t="s">
        <v>14</v>
      </c>
      <c r="T22" s="6">
        <f>MOD(R22-Q22,1)</f>
        <v>0.41666666666666674</v>
      </c>
      <c r="U22" s="8">
        <f>VLOOKUP(W22,'Thursday Turns'!$A$5:$C$13,2,TRUE)</f>
        <v>0.66805555555555551</v>
      </c>
      <c r="V22" s="8">
        <f>VLOOKUP(W22,'Thursday Turns'!$A$5:$C$13,3,TRUE)</f>
        <v>1.0416666666666666E-2</v>
      </c>
      <c r="W22" s="9" t="s">
        <v>29</v>
      </c>
      <c r="X22" s="8">
        <f t="shared" ref="X22:X23" si="4">MOD(V22-U22,1)</f>
        <v>0.34236111111111112</v>
      </c>
      <c r="Y22" s="10" t="s">
        <v>0</v>
      </c>
      <c r="Z22" s="10" t="s">
        <v>0</v>
      </c>
      <c r="AA22" s="11" t="s">
        <v>15</v>
      </c>
      <c r="AB22" s="10" t="s">
        <v>0</v>
      </c>
      <c r="AC22" s="10" t="s">
        <v>0</v>
      </c>
      <c r="AD22" s="10" t="s">
        <v>0</v>
      </c>
      <c r="AE22" s="11" t="s">
        <v>15</v>
      </c>
      <c r="AF22" s="10" t="s">
        <v>0</v>
      </c>
    </row>
    <row r="23" spans="1:32" s="3" customFormat="1" ht="35.15" customHeight="1" x14ac:dyDescent="0.5">
      <c r="A23" s="24" t="str">
        <f>HLOOKUP($AB$4,Drivers!$A$1:$H$34,C23+1)</f>
        <v>FOX</v>
      </c>
      <c r="B23" s="15">
        <f t="shared" si="0"/>
        <v>46117</v>
      </c>
      <c r="C23" s="29">
        <v>16</v>
      </c>
      <c r="D23" s="5">
        <v>33.26</v>
      </c>
      <c r="E23" s="10" t="s">
        <v>0</v>
      </c>
      <c r="F23" s="10" t="s">
        <v>0</v>
      </c>
      <c r="G23" s="11" t="s">
        <v>15</v>
      </c>
      <c r="H23" s="10" t="s">
        <v>0</v>
      </c>
      <c r="I23" s="8">
        <f>VLOOKUP(K23,'Monday Turns'!$A$5:$C$13,2,TRUE)</f>
        <v>0.24374999999999999</v>
      </c>
      <c r="J23" s="8">
        <f>VLOOKUP(K23,'Monday Turns'!$A$5:$C$13,3,TRUE)</f>
        <v>0.58263888888888893</v>
      </c>
      <c r="K23" s="9" t="s">
        <v>26</v>
      </c>
      <c r="L23" s="8">
        <f>MOD(J23-I23,1)</f>
        <v>0.33888888888888891</v>
      </c>
      <c r="M23" s="6">
        <v>0.24166666666666667</v>
      </c>
      <c r="N23" s="6">
        <v>0.65833333333333333</v>
      </c>
      <c r="O23" s="7" t="s">
        <v>14</v>
      </c>
      <c r="P23" s="6">
        <f>MOD(N23-M23,1)</f>
        <v>0.41666666666666663</v>
      </c>
      <c r="Q23" s="6">
        <v>0.24166666666666667</v>
      </c>
      <c r="R23" s="6">
        <v>0.65833333333333333</v>
      </c>
      <c r="S23" s="7" t="s">
        <v>14</v>
      </c>
      <c r="T23" s="6">
        <f>MOD(R23-Q23,1)</f>
        <v>0.41666666666666663</v>
      </c>
      <c r="U23" s="39">
        <v>0.3666666666666667</v>
      </c>
      <c r="V23" s="39">
        <v>0.7416666666666667</v>
      </c>
      <c r="W23" s="40" t="s">
        <v>97</v>
      </c>
      <c r="X23" s="39">
        <f t="shared" si="4"/>
        <v>0.375</v>
      </c>
      <c r="Y23" s="10" t="s">
        <v>0</v>
      </c>
      <c r="Z23" s="10" t="s">
        <v>0</v>
      </c>
      <c r="AA23" s="11" t="s">
        <v>15</v>
      </c>
      <c r="AB23" s="10" t="s">
        <v>0</v>
      </c>
      <c r="AC23" s="10" t="s">
        <v>0</v>
      </c>
      <c r="AD23" s="10" t="s">
        <v>0</v>
      </c>
      <c r="AE23" s="11" t="s">
        <v>15</v>
      </c>
      <c r="AF23" s="10" t="s">
        <v>0</v>
      </c>
    </row>
    <row r="24" spans="1:32" s="3" customFormat="1" ht="35.15" customHeight="1" x14ac:dyDescent="0.5">
      <c r="A24" s="24" t="str">
        <f>HLOOKUP($AB$4,Drivers!$A$1:$H$34,C24+1)</f>
        <v>COLLIER</v>
      </c>
      <c r="B24" s="15">
        <f t="shared" si="0"/>
        <v>46124</v>
      </c>
      <c r="C24" s="29">
        <v>17</v>
      </c>
      <c r="D24" s="5">
        <v>43.26</v>
      </c>
      <c r="E24" s="10" t="s">
        <v>0</v>
      </c>
      <c r="F24" s="10" t="s">
        <v>0</v>
      </c>
      <c r="G24" s="11" t="s">
        <v>15</v>
      </c>
      <c r="H24" s="10" t="s">
        <v>0</v>
      </c>
      <c r="I24" s="8">
        <f>VLOOKUP(K24,'Monday Turns'!$A$5:$C$13,2,TRUE)</f>
        <v>0.66805555555555551</v>
      </c>
      <c r="J24" s="8">
        <f>VLOOKUP(K24,'Monday Turns'!$A$5:$C$13,3,TRUE)</f>
        <v>1.0416666666666666E-2</v>
      </c>
      <c r="K24" s="9" t="s">
        <v>29</v>
      </c>
      <c r="L24" s="8">
        <f>MOD(J24-I24,1)</f>
        <v>0.34236111111111112</v>
      </c>
      <c r="M24" s="6">
        <v>0.66527777777777775</v>
      </c>
      <c r="N24" s="6">
        <v>8.1944444444444445E-2</v>
      </c>
      <c r="O24" s="7" t="s">
        <v>14</v>
      </c>
      <c r="P24" s="6">
        <f>MOD(N24-M24,1)</f>
        <v>0.41666666666666674</v>
      </c>
      <c r="Q24" s="6">
        <v>0.66527777777777775</v>
      </c>
      <c r="R24" s="6">
        <v>8.1944444444444445E-2</v>
      </c>
      <c r="S24" s="7" t="s">
        <v>14</v>
      </c>
      <c r="T24" s="6">
        <f>MOD(R24-Q24,1)</f>
        <v>0.41666666666666674</v>
      </c>
      <c r="U24" s="8">
        <f>VLOOKUP(W24,'Thursday Turns'!$A$5:$C$13,2,TRUE)</f>
        <v>0.8208333333333333</v>
      </c>
      <c r="V24" s="8">
        <f>VLOOKUP(W24,'Thursday Turns'!$A$5:$C$13,3,TRUE)</f>
        <v>0.16805555555555557</v>
      </c>
      <c r="W24" s="9" t="s">
        <v>20</v>
      </c>
      <c r="X24" s="8">
        <f>MOD(V24-U24,1)</f>
        <v>0.34722222222222232</v>
      </c>
      <c r="Y24" s="8">
        <f>VLOOKUP(AA24,'Friday Turns'!$A$5:$C$13,2,TRUE)</f>
        <v>0.70972222222222225</v>
      </c>
      <c r="Z24" s="8">
        <f>VLOOKUP(AA24,'Friday Turns'!$A$5:$C$13,3,TRUE)</f>
        <v>9.0277777777777769E-3</v>
      </c>
      <c r="AA24" s="9" t="s">
        <v>91</v>
      </c>
      <c r="AB24" s="8">
        <f>MOD(Z24-Y24,1)</f>
        <v>0.29930555555555549</v>
      </c>
      <c r="AC24" s="10" t="s">
        <v>0</v>
      </c>
      <c r="AD24" s="10" t="s">
        <v>0</v>
      </c>
      <c r="AE24" s="11" t="s">
        <v>15</v>
      </c>
      <c r="AF24" s="10" t="s">
        <v>0</v>
      </c>
    </row>
    <row r="25" spans="1:32" s="3" customFormat="1" ht="35.15" customHeight="1" x14ac:dyDescent="0.5">
      <c r="A25" s="24" t="str">
        <f>HLOOKUP($AB$4,Drivers!$A$1:$H$34,C25+1)</f>
        <v>BUTTERWORTH</v>
      </c>
      <c r="B25" s="15">
        <f t="shared" si="0"/>
        <v>46131</v>
      </c>
      <c r="C25" s="29">
        <v>18</v>
      </c>
      <c r="D25" s="5">
        <v>35.369999999999997</v>
      </c>
      <c r="E25" s="10" t="s">
        <v>0</v>
      </c>
      <c r="F25" s="10" t="s">
        <v>0</v>
      </c>
      <c r="G25" s="11" t="s">
        <v>15</v>
      </c>
      <c r="H25" s="10" t="s">
        <v>0</v>
      </c>
      <c r="I25" s="10" t="s">
        <v>0</v>
      </c>
      <c r="J25" s="10" t="s">
        <v>0</v>
      </c>
      <c r="K25" s="11" t="s">
        <v>15</v>
      </c>
      <c r="L25" s="10" t="s">
        <v>0</v>
      </c>
      <c r="M25" s="8">
        <f>VLOOKUP(O25,'Tuesday Turns'!$A$5:$C$13,2,TRUE)</f>
        <v>0.24374999999999999</v>
      </c>
      <c r="N25" s="8">
        <f>VLOOKUP(O25,'Tuesday Turns'!$A$5:$C$13,3,TRUE)</f>
        <v>0.58263888888888893</v>
      </c>
      <c r="O25" s="9" t="s">
        <v>26</v>
      </c>
      <c r="P25" s="8">
        <f>MOD(N25-M25,1)</f>
        <v>0.33888888888888891</v>
      </c>
      <c r="Q25" s="6">
        <v>0.18611111111111112</v>
      </c>
      <c r="R25" s="6">
        <v>0.56111111111111112</v>
      </c>
      <c r="S25" s="7" t="s">
        <v>14</v>
      </c>
      <c r="T25" s="6">
        <f>MOD(R25-Q25,1)</f>
        <v>0.375</v>
      </c>
      <c r="U25" s="6">
        <v>0.33958333333333335</v>
      </c>
      <c r="V25" s="6">
        <v>0.75624999999999998</v>
      </c>
      <c r="W25" s="7" t="s">
        <v>14</v>
      </c>
      <c r="X25" s="6">
        <f>MOD(V25-U25,1)</f>
        <v>0.41666666666666663</v>
      </c>
      <c r="Y25" s="6">
        <v>0.33958333333333335</v>
      </c>
      <c r="Z25" s="6">
        <v>0.75624999999999998</v>
      </c>
      <c r="AA25" s="7" t="s">
        <v>14</v>
      </c>
      <c r="AB25" s="6">
        <f>MOD(Z25-Y25,1)</f>
        <v>0.41666666666666663</v>
      </c>
      <c r="AC25" s="10" t="s">
        <v>0</v>
      </c>
      <c r="AD25" s="10" t="s">
        <v>0</v>
      </c>
      <c r="AE25" s="11" t="s">
        <v>15</v>
      </c>
      <c r="AF25" s="10" t="s">
        <v>0</v>
      </c>
    </row>
    <row r="26" spans="1:32" s="3" customFormat="1" ht="35.15" customHeight="1" x14ac:dyDescent="0.5">
      <c r="A26" s="24" t="str">
        <f>HLOOKUP($AB$4,Drivers!$A$1:$H$34,C26+1)</f>
        <v>FAIRBANK</v>
      </c>
      <c r="B26" s="15">
        <f t="shared" si="0"/>
        <v>46138</v>
      </c>
      <c r="C26" s="29">
        <v>19</v>
      </c>
      <c r="D26" s="5">
        <v>37.49</v>
      </c>
      <c r="E26" s="10" t="s">
        <v>0</v>
      </c>
      <c r="F26" s="10" t="s">
        <v>0</v>
      </c>
      <c r="G26" s="11" t="s">
        <v>15</v>
      </c>
      <c r="H26" s="10" t="s">
        <v>0</v>
      </c>
      <c r="I26" s="10" t="s">
        <v>0</v>
      </c>
      <c r="J26" s="10" t="s">
        <v>0</v>
      </c>
      <c r="K26" s="11" t="s">
        <v>15</v>
      </c>
      <c r="L26" s="10" t="s">
        <v>0</v>
      </c>
      <c r="M26" s="10" t="s">
        <v>0</v>
      </c>
      <c r="N26" s="10" t="s">
        <v>0</v>
      </c>
      <c r="O26" s="11" t="s">
        <v>15</v>
      </c>
      <c r="P26" s="10" t="s">
        <v>0</v>
      </c>
      <c r="Q26" s="6">
        <v>0.54097222222222219</v>
      </c>
      <c r="R26" s="6">
        <v>0.95763888888888893</v>
      </c>
      <c r="S26" s="7" t="s">
        <v>14</v>
      </c>
      <c r="T26" s="6">
        <f>MOD(R26-Q26,1)</f>
        <v>0.41666666666666674</v>
      </c>
      <c r="U26" s="6">
        <v>0.54097222222222219</v>
      </c>
      <c r="V26" s="6">
        <v>0.95763888888888893</v>
      </c>
      <c r="W26" s="7" t="s">
        <v>14</v>
      </c>
      <c r="X26" s="6">
        <f>MOD(V26-U26,1)</f>
        <v>0.41666666666666674</v>
      </c>
      <c r="Y26" s="6">
        <v>0.78333333333333333</v>
      </c>
      <c r="Z26" s="6">
        <v>0.19999999999999998</v>
      </c>
      <c r="AA26" s="7" t="s">
        <v>14</v>
      </c>
      <c r="AB26" s="6">
        <f t="shared" ref="AB26" si="5">MOD(Z26-Y26,1)</f>
        <v>0.41666666666666663</v>
      </c>
      <c r="AC26" s="8">
        <f>VLOOKUP(AE26,'Saturday Turns'!$A$5:$C$13,2,TRUE)</f>
        <v>0.90138888888888891</v>
      </c>
      <c r="AD26" s="8">
        <f>VLOOKUP(AE26,'Saturday Turns'!$A$5:$C$13,3,TRUE)</f>
        <v>0.23055555555555557</v>
      </c>
      <c r="AE26" s="9" t="s">
        <v>92</v>
      </c>
      <c r="AF26" s="8">
        <f>MOD(AD26-AC26,1)</f>
        <v>0.32916666666666661</v>
      </c>
    </row>
    <row r="27" spans="1:32" s="3" customFormat="1" ht="35.15" customHeight="1" x14ac:dyDescent="0.5">
      <c r="A27" s="24" t="str">
        <f>HLOOKUP($AB$4,Drivers!$A$1:$H$34,C27+1)</f>
        <v>SHEPPARD</v>
      </c>
      <c r="B27" s="15">
        <f t="shared" si="0"/>
        <v>46145</v>
      </c>
      <c r="C27" s="29">
        <v>20</v>
      </c>
      <c r="D27" s="5">
        <v>25.5</v>
      </c>
      <c r="E27" s="8">
        <f>VLOOKUP(G27,'Sunday Turns'!$A$5:$C$12,2,TRUE)</f>
        <v>0.75</v>
      </c>
      <c r="F27" s="8">
        <f>VLOOKUP(G27,'Sunday Turns'!$A$5:$C$12,3,TRUE)</f>
        <v>0.05</v>
      </c>
      <c r="G27" s="9" t="s">
        <v>90</v>
      </c>
      <c r="H27" s="8">
        <f>MOD(F27-E27,1)</f>
        <v>0.30000000000000004</v>
      </c>
      <c r="I27" s="10" t="s">
        <v>0</v>
      </c>
      <c r="J27" s="10" t="s">
        <v>0</v>
      </c>
      <c r="K27" s="11" t="s">
        <v>15</v>
      </c>
      <c r="L27" s="10" t="s">
        <v>0</v>
      </c>
      <c r="M27" s="10" t="s">
        <v>0</v>
      </c>
      <c r="N27" s="10" t="s">
        <v>0</v>
      </c>
      <c r="O27" s="11" t="s">
        <v>15</v>
      </c>
      <c r="P27" s="10" t="s">
        <v>0</v>
      </c>
      <c r="Q27" s="10" t="s">
        <v>0</v>
      </c>
      <c r="R27" s="10" t="s">
        <v>0</v>
      </c>
      <c r="S27" s="11" t="s">
        <v>15</v>
      </c>
      <c r="T27" s="10" t="s">
        <v>0</v>
      </c>
      <c r="U27" s="10" t="s">
        <v>0</v>
      </c>
      <c r="V27" s="10" t="s">
        <v>0</v>
      </c>
      <c r="W27" s="11" t="s">
        <v>15</v>
      </c>
      <c r="X27" s="10" t="s">
        <v>0</v>
      </c>
      <c r="Y27" s="8">
        <f>VLOOKUP(AA27,'Friday Turns'!$A$5:$C$13,2,TRUE)</f>
        <v>0.19027777777777777</v>
      </c>
      <c r="Z27" s="8">
        <f>VLOOKUP(AA27,'Friday Turns'!$A$5:$C$13,3,TRUE)</f>
        <v>0.54097222222222219</v>
      </c>
      <c r="AA27" s="9" t="s">
        <v>25</v>
      </c>
      <c r="AB27" s="8">
        <f>MOD(Z27-Y27,1)</f>
        <v>0.35069444444444442</v>
      </c>
      <c r="AC27" s="6">
        <v>0.18611111111111112</v>
      </c>
      <c r="AD27" s="6">
        <v>0.56111111111111112</v>
      </c>
      <c r="AE27" s="7" t="s">
        <v>14</v>
      </c>
      <c r="AF27" s="6">
        <f>MOD(AD27-AC27,1)</f>
        <v>0.375</v>
      </c>
    </row>
    <row r="28" spans="1:32" s="3" customFormat="1" ht="35.15" customHeight="1" x14ac:dyDescent="0.5">
      <c r="A28" s="24" t="str">
        <f>HLOOKUP($AB$4,Drivers!$A$1:$H$34,C28+1)</f>
        <v>AKERS</v>
      </c>
      <c r="B28" s="15">
        <f t="shared" si="0"/>
        <v>46152</v>
      </c>
      <c r="C28" s="29">
        <v>21</v>
      </c>
      <c r="D28" s="5">
        <v>31.17</v>
      </c>
      <c r="E28" s="6">
        <v>0.30555555555555558</v>
      </c>
      <c r="F28" s="6">
        <v>0.72222222222222221</v>
      </c>
      <c r="G28" s="7" t="s">
        <v>14</v>
      </c>
      <c r="H28" s="6">
        <f>MOD(F28-E28,1)</f>
        <v>0.41666666666666663</v>
      </c>
      <c r="I28" s="39">
        <v>0.3666666666666667</v>
      </c>
      <c r="J28" s="39">
        <v>0.7416666666666667</v>
      </c>
      <c r="K28" s="40" t="s">
        <v>97</v>
      </c>
      <c r="L28" s="39">
        <f t="shared" ref="L28" si="6">MOD(J28-I28,1)</f>
        <v>0.375</v>
      </c>
      <c r="M28" s="8">
        <f>VLOOKUP(O28,'Tuesday Turns'!$A$5:$C$13,2,TRUE)</f>
        <v>0.28819444444444442</v>
      </c>
      <c r="N28" s="8">
        <f>VLOOKUP(O28,'Tuesday Turns'!$A$5:$C$13,3,TRUE)</f>
        <v>0.49930555555555556</v>
      </c>
      <c r="O28" s="9" t="s">
        <v>17</v>
      </c>
      <c r="P28" s="8">
        <f>MOD(N28-M28,1)</f>
        <v>0.21111111111111114</v>
      </c>
      <c r="Q28" s="10" t="s">
        <v>0</v>
      </c>
      <c r="R28" s="10" t="s">
        <v>0</v>
      </c>
      <c r="S28" s="11" t="s">
        <v>15</v>
      </c>
      <c r="T28" s="10" t="s">
        <v>0</v>
      </c>
      <c r="U28" s="10" t="s">
        <v>0</v>
      </c>
      <c r="V28" s="10" t="s">
        <v>0</v>
      </c>
      <c r="W28" s="11" t="s">
        <v>15</v>
      </c>
      <c r="X28" s="10" t="s">
        <v>0</v>
      </c>
      <c r="Y28" s="10" t="s">
        <v>0</v>
      </c>
      <c r="Z28" s="10" t="s">
        <v>0</v>
      </c>
      <c r="AA28" s="11" t="s">
        <v>15</v>
      </c>
      <c r="AB28" s="10" t="s">
        <v>0</v>
      </c>
      <c r="AC28" s="6">
        <v>0.625</v>
      </c>
      <c r="AD28" s="6">
        <v>4.1666666666666664E-2</v>
      </c>
      <c r="AE28" s="7" t="s">
        <v>14</v>
      </c>
      <c r="AF28" s="6">
        <f>MOD(AD28-AC28,1)</f>
        <v>0.41666666666666663</v>
      </c>
    </row>
    <row r="29" spans="1:32" s="3" customFormat="1" ht="35.15" customHeight="1" x14ac:dyDescent="0.5">
      <c r="A29" s="24" t="str">
        <f>HLOOKUP($AB$4,Drivers!$A$1:$H$34,C29+1)</f>
        <v>HOWARD</v>
      </c>
      <c r="B29" s="15">
        <f t="shared" si="0"/>
        <v>46159</v>
      </c>
      <c r="C29" s="29">
        <v>22</v>
      </c>
      <c r="D29" s="5">
        <v>41.46</v>
      </c>
      <c r="E29" s="6">
        <v>0.58333333333333337</v>
      </c>
      <c r="F29" s="6">
        <v>0</v>
      </c>
      <c r="G29" s="7" t="s">
        <v>14</v>
      </c>
      <c r="H29" s="6">
        <f>MOD(F29-E29,1)</f>
        <v>0.41666666666666663</v>
      </c>
      <c r="I29" s="6">
        <v>0.58124999999999993</v>
      </c>
      <c r="J29" s="6">
        <v>0.99791666666666667</v>
      </c>
      <c r="K29" s="7" t="s">
        <v>14</v>
      </c>
      <c r="L29" s="6">
        <f>MOD(J29-I29,1)</f>
        <v>0.41666666666666674</v>
      </c>
      <c r="M29" s="6">
        <v>0.58124999999999993</v>
      </c>
      <c r="N29" s="6">
        <v>0.99791666666666667</v>
      </c>
      <c r="O29" s="7" t="s">
        <v>14</v>
      </c>
      <c r="P29" s="6">
        <f>MOD(N29-M29,1)</f>
        <v>0.41666666666666674</v>
      </c>
      <c r="Q29" s="8">
        <f>VLOOKUP(S29,'Wednesday Turns'!$A$5:$C$13,2,TRUE)</f>
        <v>0.58333333333333337</v>
      </c>
      <c r="R29" s="8">
        <f>VLOOKUP(S29,'Wednesday Turns'!$A$5:$C$13,3,TRUE)</f>
        <v>0.98124999999999996</v>
      </c>
      <c r="S29" s="9" t="s">
        <v>16</v>
      </c>
      <c r="T29" s="8">
        <f>MOD(R29-Q29,1)</f>
        <v>0.39791666666666659</v>
      </c>
      <c r="U29" s="8">
        <f>VLOOKUP(W29,'Thursday Turns'!$A$5:$C$13,2,TRUE)</f>
        <v>0.5</v>
      </c>
      <c r="V29" s="8">
        <f>VLOOKUP(W29,'Thursday Turns'!$A$5:$C$13,3,TRUE)</f>
        <v>0.70833333333333337</v>
      </c>
      <c r="W29" s="9" t="s">
        <v>24</v>
      </c>
      <c r="X29" s="8">
        <f>MOD(V29-U29,1)</f>
        <v>0.20833333333333337</v>
      </c>
      <c r="Y29" s="10" t="s">
        <v>0</v>
      </c>
      <c r="Z29" s="10" t="s">
        <v>0</v>
      </c>
      <c r="AA29" s="11" t="s">
        <v>15</v>
      </c>
      <c r="AB29" s="10" t="s">
        <v>0</v>
      </c>
      <c r="AC29" s="10" t="s">
        <v>0</v>
      </c>
      <c r="AD29" s="10" t="s">
        <v>0</v>
      </c>
      <c r="AE29" s="11" t="s">
        <v>15</v>
      </c>
      <c r="AF29" s="10" t="s">
        <v>0</v>
      </c>
    </row>
    <row r="30" spans="1:32" s="3" customFormat="1" ht="35.15" customHeight="1" x14ac:dyDescent="0.5">
      <c r="A30" s="24" t="str">
        <f>HLOOKUP($AB$4,Drivers!$A$1:$H$34,C30+1)</f>
        <v>MORRISH</v>
      </c>
      <c r="B30" s="15">
        <f t="shared" si="0"/>
        <v>46166</v>
      </c>
      <c r="C30" s="29">
        <v>23</v>
      </c>
      <c r="D30" s="5">
        <v>42.27</v>
      </c>
      <c r="E30" s="10" t="s">
        <v>0</v>
      </c>
      <c r="F30" s="10" t="s">
        <v>0</v>
      </c>
      <c r="G30" s="11" t="s">
        <v>15</v>
      </c>
      <c r="H30" s="10" t="s">
        <v>0</v>
      </c>
      <c r="I30" s="10" t="s">
        <v>0</v>
      </c>
      <c r="J30" s="10" t="s">
        <v>0</v>
      </c>
      <c r="K30" s="11" t="s">
        <v>15</v>
      </c>
      <c r="L30" s="10" t="s">
        <v>0</v>
      </c>
      <c r="M30" s="8">
        <f>VLOOKUP(O30,'Tuesday Turns'!$A$5:$C$13,2,TRUE)</f>
        <v>0.19027777777777777</v>
      </c>
      <c r="N30" s="8">
        <f>VLOOKUP(O30,'Tuesday Turns'!$A$5:$C$13,3,TRUE)</f>
        <v>0.54097222222222219</v>
      </c>
      <c r="O30" s="9" t="s">
        <v>25</v>
      </c>
      <c r="P30" s="8">
        <f>MOD(N30-M30,1)</f>
        <v>0.35069444444444442</v>
      </c>
      <c r="Q30" s="8">
        <f>VLOOKUP(S30,'Wednesday Turns'!$A$5:$C$13,2,TRUE)</f>
        <v>0.24374999999999999</v>
      </c>
      <c r="R30" s="8">
        <f>VLOOKUP(S30,'Wednesday Turns'!$A$5:$C$13,3,TRUE)</f>
        <v>0.58263888888888893</v>
      </c>
      <c r="S30" s="9" t="s">
        <v>26</v>
      </c>
      <c r="T30" s="8">
        <f>MOD(R30-Q30,1)</f>
        <v>0.33888888888888891</v>
      </c>
      <c r="U30" s="6">
        <v>0.24166666666666667</v>
      </c>
      <c r="V30" s="6">
        <v>0.65833333333333333</v>
      </c>
      <c r="W30" s="7" t="s">
        <v>14</v>
      </c>
      <c r="X30" s="6">
        <f>MOD(V30-U30,1)</f>
        <v>0.41666666666666663</v>
      </c>
      <c r="Y30" s="6">
        <v>0.18611111111111112</v>
      </c>
      <c r="Z30" s="6">
        <v>0.56111111111111112</v>
      </c>
      <c r="AA30" s="7" t="s">
        <v>14</v>
      </c>
      <c r="AB30" s="6">
        <f>MOD(Z30-Y30,1)</f>
        <v>0.375</v>
      </c>
      <c r="AC30" s="8">
        <f>VLOOKUP(AE30,'Saturday Turns'!$A$5:$C$13,2,TRUE)</f>
        <v>0.28819444444444442</v>
      </c>
      <c r="AD30" s="8">
        <f>VLOOKUP(AE30,'Saturday Turns'!$A$5:$C$13,3,TRUE)</f>
        <v>0.49930555555555556</v>
      </c>
      <c r="AE30" s="9" t="s">
        <v>31</v>
      </c>
      <c r="AF30" s="8">
        <f>MOD(AD30-AC30,1)</f>
        <v>0.21111111111111114</v>
      </c>
    </row>
    <row r="31" spans="1:32" s="3" customFormat="1" ht="35.15" customHeight="1" x14ac:dyDescent="0.5">
      <c r="A31" s="24" t="str">
        <f>HLOOKUP($AB$4,Drivers!$A$1:$H$34,C31+1)</f>
        <v>GIBSON</v>
      </c>
      <c r="B31" s="15">
        <f t="shared" si="0"/>
        <v>46173</v>
      </c>
      <c r="C31" s="29">
        <v>24</v>
      </c>
      <c r="D31" s="5">
        <v>26.55</v>
      </c>
      <c r="E31" s="10" t="s">
        <v>0</v>
      </c>
      <c r="F31" s="10" t="s">
        <v>0</v>
      </c>
      <c r="G31" s="11" t="s">
        <v>15</v>
      </c>
      <c r="H31" s="10" t="s">
        <v>0</v>
      </c>
      <c r="I31" s="10" t="s">
        <v>0</v>
      </c>
      <c r="J31" s="10" t="s">
        <v>0</v>
      </c>
      <c r="K31" s="11" t="s">
        <v>15</v>
      </c>
      <c r="L31" s="10" t="s">
        <v>0</v>
      </c>
      <c r="M31" s="10" t="s">
        <v>0</v>
      </c>
      <c r="N31" s="10" t="s">
        <v>0</v>
      </c>
      <c r="O31" s="11" t="s">
        <v>15</v>
      </c>
      <c r="P31" s="10" t="s">
        <v>0</v>
      </c>
      <c r="Q31" s="10" t="s">
        <v>0</v>
      </c>
      <c r="R31" s="10" t="s">
        <v>0</v>
      </c>
      <c r="S31" s="11" t="s">
        <v>15</v>
      </c>
      <c r="T31" s="10" t="s">
        <v>0</v>
      </c>
      <c r="U31" s="6">
        <v>0.5</v>
      </c>
      <c r="V31" s="6">
        <v>0.91666666666666663</v>
      </c>
      <c r="W31" s="7" t="s">
        <v>14</v>
      </c>
      <c r="X31" s="6">
        <f>MOD(V31-U31,1)</f>
        <v>0.41666666666666663</v>
      </c>
      <c r="Y31" s="6">
        <v>0.5</v>
      </c>
      <c r="Z31" s="6">
        <v>0.91666666666666663</v>
      </c>
      <c r="AA31" s="7" t="s">
        <v>14</v>
      </c>
      <c r="AB31" s="6">
        <f>MOD(Z31-Y31,1)</f>
        <v>0.41666666666666663</v>
      </c>
      <c r="AC31" s="6">
        <v>0.5</v>
      </c>
      <c r="AD31" s="6">
        <v>0.91666666666666663</v>
      </c>
      <c r="AE31" s="7" t="s">
        <v>14</v>
      </c>
      <c r="AF31" s="6">
        <f>MOD(AD31-AC31,1)</f>
        <v>0.41666666666666663</v>
      </c>
    </row>
    <row r="32" spans="1:32" s="3" customFormat="1" ht="35.15" customHeight="1" x14ac:dyDescent="0.5">
      <c r="A32" s="24" t="str">
        <f>HLOOKUP($AB$4,Drivers!$A$1:$H$34,C32+1)</f>
        <v>TURNER</v>
      </c>
      <c r="B32" s="15">
        <f t="shared" si="0"/>
        <v>46180</v>
      </c>
      <c r="C32" s="29">
        <v>25</v>
      </c>
      <c r="D32" s="5">
        <v>26.2</v>
      </c>
      <c r="E32" s="8">
        <f>VLOOKUP(G32,'Sunday Turns'!$A$5:$C$12,2,TRUE)</f>
        <v>0.54166666666666663</v>
      </c>
      <c r="F32" s="8">
        <f>VLOOKUP(G32,'Sunday Turns'!$A$5:$C$12,3,TRUE)</f>
        <v>0.92083333333333328</v>
      </c>
      <c r="G32" s="9" t="s">
        <v>28</v>
      </c>
      <c r="H32" s="8">
        <f>MOD(F32-E32,1)</f>
        <v>0.37916666666666665</v>
      </c>
      <c r="I32" s="8">
        <f>VLOOKUP(K32,'Monday Turns'!$A$5:$C$13,2,TRUE)</f>
        <v>0.5</v>
      </c>
      <c r="J32" s="8">
        <f>VLOOKUP(K32,'Monday Turns'!$A$5:$C$13,3,TRUE)</f>
        <v>0.70833333333333337</v>
      </c>
      <c r="K32" s="9" t="s">
        <v>24</v>
      </c>
      <c r="L32" s="8">
        <f>MOD(J32-I32,1)</f>
        <v>0.20833333333333337</v>
      </c>
      <c r="M32" s="10" t="s">
        <v>0</v>
      </c>
      <c r="N32" s="10" t="s">
        <v>0</v>
      </c>
      <c r="O32" s="11" t="s">
        <v>15</v>
      </c>
      <c r="P32" s="10" t="s">
        <v>0</v>
      </c>
      <c r="Q32" s="10" t="s">
        <v>0</v>
      </c>
      <c r="R32" s="10" t="s">
        <v>0</v>
      </c>
      <c r="S32" s="11" t="s">
        <v>15</v>
      </c>
      <c r="T32" s="10" t="s">
        <v>0</v>
      </c>
      <c r="U32" s="10" t="s">
        <v>0</v>
      </c>
      <c r="V32" s="10" t="s">
        <v>0</v>
      </c>
      <c r="W32" s="11" t="s">
        <v>15</v>
      </c>
      <c r="X32" s="10" t="s">
        <v>0</v>
      </c>
      <c r="Y32" s="10" t="s">
        <v>0</v>
      </c>
      <c r="Z32" s="10" t="s">
        <v>0</v>
      </c>
      <c r="AA32" s="11" t="s">
        <v>15</v>
      </c>
      <c r="AB32" s="10" t="s">
        <v>0</v>
      </c>
      <c r="AC32" s="8">
        <f>VLOOKUP(AE32,'Saturday Turns'!$A$5:$C$13,2,TRUE)</f>
        <v>0.19027777777777777</v>
      </c>
      <c r="AD32" s="8">
        <f>VLOOKUP(AE32,'Saturday Turns'!$A$5:$C$13,3,TRUE)</f>
        <v>0.54097222222222219</v>
      </c>
      <c r="AE32" s="9" t="s">
        <v>27</v>
      </c>
      <c r="AF32" s="8">
        <f>MOD(AD32-AC32,1)</f>
        <v>0.35069444444444442</v>
      </c>
    </row>
    <row r="33" spans="1:32" s="3" customFormat="1" ht="35.15" customHeight="1" x14ac:dyDescent="0.5">
      <c r="A33" s="24" t="str">
        <f>HLOOKUP($AB$4,Drivers!$A$1:$H$34,C33+1)</f>
        <v>GALE</v>
      </c>
      <c r="B33" s="15">
        <f t="shared" si="0"/>
        <v>46187</v>
      </c>
      <c r="C33" s="29">
        <v>26</v>
      </c>
      <c r="D33" s="5">
        <v>30.2</v>
      </c>
      <c r="E33" s="6">
        <v>0.33680555555555558</v>
      </c>
      <c r="F33" s="6">
        <v>0.75347222222222221</v>
      </c>
      <c r="G33" s="7" t="s">
        <v>14</v>
      </c>
      <c r="H33" s="6">
        <f>MOD(F33-E33,1)</f>
        <v>0.41666666666666663</v>
      </c>
      <c r="I33" s="6">
        <v>0.26944444444444443</v>
      </c>
      <c r="J33" s="6">
        <v>0.68611111111111112</v>
      </c>
      <c r="K33" s="7" t="s">
        <v>14</v>
      </c>
      <c r="L33" s="6">
        <f>MOD(J33-I33,1)</f>
        <v>0.41666666666666669</v>
      </c>
      <c r="M33" s="6">
        <v>0.18611111111111112</v>
      </c>
      <c r="N33" s="6">
        <v>0.56111111111111112</v>
      </c>
      <c r="O33" s="7" t="s">
        <v>14</v>
      </c>
      <c r="P33" s="6">
        <f>MOD(N33-M33,1)</f>
        <v>0.375</v>
      </c>
      <c r="Q33" s="8">
        <f>VLOOKUP(S33,'Wednesday Turns'!$A$5:$C$13,2,TRUE)</f>
        <v>0.28819444444444442</v>
      </c>
      <c r="R33" s="8">
        <f>VLOOKUP(S33,'Wednesday Turns'!$A$5:$C$13,3,TRUE)</f>
        <v>0.49930555555555556</v>
      </c>
      <c r="S33" s="9" t="s">
        <v>17</v>
      </c>
      <c r="T33" s="8">
        <f>MOD(R33-Q33,1)</f>
        <v>0.21111111111111114</v>
      </c>
      <c r="U33" s="10" t="s">
        <v>0</v>
      </c>
      <c r="V33" s="10" t="s">
        <v>0</v>
      </c>
      <c r="W33" s="11" t="s">
        <v>15</v>
      </c>
      <c r="X33" s="10" t="s">
        <v>0</v>
      </c>
      <c r="Y33" s="10" t="s">
        <v>0</v>
      </c>
      <c r="Z33" s="10" t="s">
        <v>0</v>
      </c>
      <c r="AA33" s="11" t="s">
        <v>15</v>
      </c>
      <c r="AB33" s="10" t="s">
        <v>0</v>
      </c>
      <c r="AC33" s="10" t="s">
        <v>0</v>
      </c>
      <c r="AD33" s="10" t="s">
        <v>0</v>
      </c>
      <c r="AE33" s="11" t="s">
        <v>15</v>
      </c>
      <c r="AF33" s="10" t="s">
        <v>0</v>
      </c>
    </row>
    <row r="34" spans="1:32" s="3" customFormat="1" ht="35.15" customHeight="1" x14ac:dyDescent="0.5">
      <c r="A34" s="24" t="str">
        <f>HLOOKUP($AB$4,Drivers!$A$1:$H$34,C34+1)</f>
        <v>YOUNG</v>
      </c>
      <c r="B34" s="15">
        <f t="shared" si="0"/>
        <v>46194</v>
      </c>
      <c r="C34" s="29">
        <v>27</v>
      </c>
      <c r="D34" s="5">
        <v>53.22</v>
      </c>
      <c r="E34" s="6">
        <v>0.54166666666666663</v>
      </c>
      <c r="F34" s="6">
        <v>0.95833333333333337</v>
      </c>
      <c r="G34" s="7" t="s">
        <v>14</v>
      </c>
      <c r="H34" s="6">
        <f>MOD(F34-E34,1)</f>
        <v>0.41666666666666674</v>
      </c>
      <c r="I34" s="6">
        <v>0.5</v>
      </c>
      <c r="J34" s="6">
        <v>0.91666666666666663</v>
      </c>
      <c r="K34" s="7" t="s">
        <v>14</v>
      </c>
      <c r="L34" s="6">
        <f>MOD(J34-I34,1)</f>
        <v>0.41666666666666663</v>
      </c>
      <c r="M34" s="6">
        <v>0.54097222222222219</v>
      </c>
      <c r="N34" s="6">
        <v>0.95763888888888893</v>
      </c>
      <c r="O34" s="7" t="s">
        <v>14</v>
      </c>
      <c r="P34" s="6">
        <f>MOD(N34-M34,1)</f>
        <v>0.41666666666666674</v>
      </c>
      <c r="Q34" s="8">
        <f>VLOOKUP(S34,'Wednesday Turns'!$A$5:$C$13,2,TRUE)</f>
        <v>0.66805555555555551</v>
      </c>
      <c r="R34" s="8">
        <f>VLOOKUP(S34,'Wednesday Turns'!$A$5:$C$13,3,TRUE)</f>
        <v>1.0416666666666666E-2</v>
      </c>
      <c r="S34" s="9" t="s">
        <v>29</v>
      </c>
      <c r="T34" s="8">
        <f>MOD(R34-Q34,1)</f>
        <v>0.34236111111111112</v>
      </c>
      <c r="U34" s="8">
        <f>VLOOKUP(W34,'Thursday Turns'!$A$5:$C$13,2,TRUE)</f>
        <v>0.58333333333333337</v>
      </c>
      <c r="V34" s="8">
        <f>VLOOKUP(W34,'Thursday Turns'!$A$5:$C$13,3,TRUE)</f>
        <v>0.98124999999999996</v>
      </c>
      <c r="W34" s="9" t="s">
        <v>16</v>
      </c>
      <c r="X34" s="8">
        <f>MOD(V34-U34,1)</f>
        <v>0.39791666666666659</v>
      </c>
      <c r="Y34" s="8">
        <f>VLOOKUP(AA34,'Friday Turns'!$A$5:$C$13,2,TRUE)</f>
        <v>0.5</v>
      </c>
      <c r="Z34" s="8">
        <f>VLOOKUP(AA34,'Friday Turns'!$A$5:$C$13,3,TRUE)</f>
        <v>0.70833333333333337</v>
      </c>
      <c r="AA34" s="9" t="s">
        <v>24</v>
      </c>
      <c r="AB34" s="8">
        <f>MOD(Z34-Y34,1)</f>
        <v>0.20833333333333337</v>
      </c>
      <c r="AC34" s="10" t="s">
        <v>0</v>
      </c>
      <c r="AD34" s="10" t="s">
        <v>0</v>
      </c>
      <c r="AE34" s="11" t="s">
        <v>15</v>
      </c>
      <c r="AF34" s="10" t="s">
        <v>0</v>
      </c>
    </row>
    <row r="35" spans="1:32" s="3" customFormat="1" ht="35.15" customHeight="1" x14ac:dyDescent="0.5">
      <c r="A35" s="24" t="str">
        <f>HLOOKUP($AB$4,Drivers!$A$1:$H$34,C35+1)</f>
        <v>YATES</v>
      </c>
      <c r="B35" s="15">
        <f t="shared" si="0"/>
        <v>46201</v>
      </c>
      <c r="C35" s="29">
        <v>28</v>
      </c>
      <c r="D35" s="5">
        <v>25.36</v>
      </c>
      <c r="E35" s="10" t="s">
        <v>0</v>
      </c>
      <c r="F35" s="10" t="s">
        <v>0</v>
      </c>
      <c r="G35" s="11" t="s">
        <v>15</v>
      </c>
      <c r="H35" s="10" t="s">
        <v>0</v>
      </c>
      <c r="I35" s="10" t="s">
        <v>0</v>
      </c>
      <c r="J35" s="10"/>
      <c r="K35" s="11" t="s">
        <v>15</v>
      </c>
      <c r="L35" s="10" t="s">
        <v>0</v>
      </c>
      <c r="M35" s="10" t="s">
        <v>0</v>
      </c>
      <c r="N35" s="10" t="s">
        <v>0</v>
      </c>
      <c r="O35" s="11" t="s">
        <v>15</v>
      </c>
      <c r="P35" s="10" t="s">
        <v>0</v>
      </c>
      <c r="Q35" s="10" t="s">
        <v>0</v>
      </c>
      <c r="R35" s="10" t="s">
        <v>0</v>
      </c>
      <c r="S35" s="11" t="s">
        <v>15</v>
      </c>
      <c r="T35" s="10" t="s">
        <v>0</v>
      </c>
      <c r="U35" s="8">
        <f>VLOOKUP(W35,'Thursday Turns'!$A$5:$C$13,2,TRUE)</f>
        <v>0.45833333333333331</v>
      </c>
      <c r="V35" s="8">
        <f>VLOOKUP(W35,'Thursday Turns'!$A$5:$C$13,3,TRUE)</f>
        <v>0.74930555555555556</v>
      </c>
      <c r="W35" s="9" t="s">
        <v>18</v>
      </c>
      <c r="X35" s="8">
        <f>MOD(V35-U35,1)</f>
        <v>0.29097222222222224</v>
      </c>
      <c r="Y35" s="8">
        <f>VLOOKUP(AA35,'Friday Turns'!$A$5:$C$13,2,TRUE)</f>
        <v>0.45833333333333331</v>
      </c>
      <c r="Z35" s="8">
        <f>VLOOKUP(AA35,'Friday Turns'!$A$5:$C$13,3,TRUE)</f>
        <v>0.74930555555555556</v>
      </c>
      <c r="AA35" s="9" t="s">
        <v>18</v>
      </c>
      <c r="AB35" s="8">
        <f>MOD(Z35-Y35,1)</f>
        <v>0.29097222222222224</v>
      </c>
      <c r="AC35" s="8">
        <f>VLOOKUP(AE35,'Saturday Turns'!$A$5:$C$13,2,TRUE)</f>
        <v>0.45833333333333331</v>
      </c>
      <c r="AD35" s="8">
        <f>VLOOKUP(AE35,'Saturday Turns'!$A$5:$C$13,3,TRUE)</f>
        <v>0.74930555555555556</v>
      </c>
      <c r="AE35" s="9" t="s">
        <v>21</v>
      </c>
      <c r="AF35" s="8">
        <f>MOD(AD35-AC35,1)</f>
        <v>0.29097222222222224</v>
      </c>
    </row>
    <row r="36" spans="1:32" s="3" customFormat="1" ht="35.15" customHeight="1" x14ac:dyDescent="0.5">
      <c r="A36" s="24" t="str">
        <f>HLOOKUP($AB$4,Drivers!$A$1:$H$34,C36+1)</f>
        <v>BLACKLOCK</v>
      </c>
      <c r="B36" s="15">
        <f t="shared" si="0"/>
        <v>46208</v>
      </c>
      <c r="C36" s="29">
        <v>29</v>
      </c>
      <c r="D36" s="5">
        <v>26.41</v>
      </c>
      <c r="E36" s="8">
        <f>VLOOKUP(G36,'Sunday Turns'!$A$5:$C$12,2,TRUE)</f>
        <v>0.33680555555555558</v>
      </c>
      <c r="F36" s="8">
        <f>VLOOKUP(G36,'Sunday Turns'!$A$5:$C$12,3,TRUE)</f>
        <v>0.62430555555555556</v>
      </c>
      <c r="G36" s="9" t="s">
        <v>33</v>
      </c>
      <c r="H36" s="8">
        <f>MOD(F36-E36,1)</f>
        <v>0.28749999999999998</v>
      </c>
      <c r="I36" s="6">
        <v>0.24166666666666667</v>
      </c>
      <c r="J36" s="6">
        <v>0.65833333333333333</v>
      </c>
      <c r="K36" s="7" t="s">
        <v>14</v>
      </c>
      <c r="L36" s="6">
        <f>MOD(J36-I36,1)</f>
        <v>0.41666666666666663</v>
      </c>
      <c r="M36" s="10" t="s">
        <v>0</v>
      </c>
      <c r="N36" s="10" t="s">
        <v>0</v>
      </c>
      <c r="O36" s="11" t="s">
        <v>15</v>
      </c>
      <c r="P36" s="10" t="s">
        <v>0</v>
      </c>
      <c r="Q36" s="10" t="s">
        <v>0</v>
      </c>
      <c r="R36" s="10" t="s">
        <v>0</v>
      </c>
      <c r="S36" s="11" t="s">
        <v>15</v>
      </c>
      <c r="T36" s="10" t="s">
        <v>0</v>
      </c>
      <c r="U36" s="10" t="s">
        <v>0</v>
      </c>
      <c r="V36" s="10" t="s">
        <v>0</v>
      </c>
      <c r="W36" s="11" t="s">
        <v>15</v>
      </c>
      <c r="X36" s="10" t="s">
        <v>0</v>
      </c>
      <c r="Y36" s="6">
        <v>0.58125000000000004</v>
      </c>
      <c r="Z36" s="6">
        <v>0.99791666666666667</v>
      </c>
      <c r="AA36" s="7" t="s">
        <v>14</v>
      </c>
      <c r="AB36" s="6">
        <f>MOD(Z36-Y36,1)</f>
        <v>0.41666666666666663</v>
      </c>
      <c r="AC36" s="6">
        <v>0.58194444444444449</v>
      </c>
      <c r="AD36" s="6">
        <v>0.99861111111111112</v>
      </c>
      <c r="AE36" s="7" t="s">
        <v>14</v>
      </c>
      <c r="AF36" s="6">
        <f>MOD(AD36-AC36,1)</f>
        <v>0.41666666666666663</v>
      </c>
    </row>
    <row r="37" spans="1:32" s="3" customFormat="1" ht="35.15" customHeight="1" x14ac:dyDescent="0.5">
      <c r="A37" s="24" t="str">
        <f>HLOOKUP($AB$4,Drivers!$A$1:$H$34,C37+1)</f>
        <v>STRINGER</v>
      </c>
      <c r="B37" s="15">
        <f t="shared" si="0"/>
        <v>46215</v>
      </c>
      <c r="C37" s="29">
        <v>30</v>
      </c>
      <c r="D37" s="5">
        <v>39.32</v>
      </c>
      <c r="E37" s="8">
        <f>VLOOKUP(G37,'Sunday Turns'!$A$5:$C$12,2,TRUE)</f>
        <v>0.66666666666666663</v>
      </c>
      <c r="F37" s="8">
        <f>VLOOKUP(G37,'Sunday Turns'!$A$5:$C$12,3,TRUE)</f>
        <v>0.875</v>
      </c>
      <c r="G37" s="9" t="s">
        <v>100</v>
      </c>
      <c r="H37" s="8">
        <f>MOD(F37-E37,1)</f>
        <v>0.20833333333333337</v>
      </c>
      <c r="I37" s="6">
        <v>0.54097222222222219</v>
      </c>
      <c r="J37" s="6">
        <v>0.95763888888888893</v>
      </c>
      <c r="K37" s="7" t="s">
        <v>14</v>
      </c>
      <c r="L37" s="6">
        <f>MOD(J37-I37,1)</f>
        <v>0.41666666666666674</v>
      </c>
      <c r="M37" s="8">
        <f>VLOOKUP(O37,'Tuesday Turns'!$A$5:$C$13,2,TRUE)</f>
        <v>0.58333333333333337</v>
      </c>
      <c r="N37" s="8">
        <f>VLOOKUP(O37,'Tuesday Turns'!$A$5:$C$13,3,TRUE)</f>
        <v>0.98124999999999996</v>
      </c>
      <c r="O37" s="9" t="s">
        <v>16</v>
      </c>
      <c r="P37" s="8">
        <f>MOD(N37-M37,1)</f>
        <v>0.39791666666666659</v>
      </c>
      <c r="Q37" s="8">
        <f>VLOOKUP(S37,'Wednesday Turns'!$A$5:$C$13,2,TRUE)</f>
        <v>0.5</v>
      </c>
      <c r="R37" s="8">
        <f>VLOOKUP(S37,'Wednesday Turns'!$A$5:$C$13,3,TRUE)</f>
        <v>0.70833333333333337</v>
      </c>
      <c r="S37" s="9" t="s">
        <v>24</v>
      </c>
      <c r="T37" s="8">
        <f>MOD(R37-Q37,1)</f>
        <v>0.20833333333333337</v>
      </c>
      <c r="U37" s="10" t="s">
        <v>0</v>
      </c>
      <c r="V37" s="10" t="s">
        <v>0</v>
      </c>
      <c r="W37" s="11" t="s">
        <v>15</v>
      </c>
      <c r="X37" s="10" t="s">
        <v>0</v>
      </c>
      <c r="Y37" s="10" t="s">
        <v>0</v>
      </c>
      <c r="Z37" s="10" t="s">
        <v>0</v>
      </c>
      <c r="AA37" s="11" t="s">
        <v>15</v>
      </c>
      <c r="AB37" s="10" t="s">
        <v>0</v>
      </c>
      <c r="AC37" s="10" t="s">
        <v>0</v>
      </c>
      <c r="AD37" s="10" t="s">
        <v>0</v>
      </c>
      <c r="AE37" s="11" t="s">
        <v>15</v>
      </c>
      <c r="AF37" s="10" t="s">
        <v>0</v>
      </c>
    </row>
    <row r="38" spans="1:32" s="3" customFormat="1" ht="35.15" customHeight="1" x14ac:dyDescent="0.5">
      <c r="A38" s="24" t="str">
        <f>HLOOKUP($AB$4,Drivers!$A$1:$H$34,C38+1)</f>
        <v>POTTER</v>
      </c>
      <c r="B38" s="15">
        <f t="shared" si="0"/>
        <v>46222</v>
      </c>
      <c r="C38" s="29">
        <v>31</v>
      </c>
      <c r="D38" s="5"/>
      <c r="E38" s="6">
        <v>0.37986111111111115</v>
      </c>
      <c r="F38" s="6">
        <v>0.79652777777777772</v>
      </c>
      <c r="G38" s="7" t="s">
        <v>14</v>
      </c>
      <c r="H38" s="6">
        <f>MOD(F38-E38,1)</f>
        <v>0.41666666666666657</v>
      </c>
      <c r="I38" s="39">
        <v>0.49166666666666664</v>
      </c>
      <c r="J38" s="39">
        <v>0.8666666666666667</v>
      </c>
      <c r="K38" s="40" t="s">
        <v>97</v>
      </c>
      <c r="L38" s="39">
        <f t="shared" ref="L38:L39" si="7">MOD(J38-I38,1)</f>
        <v>0.37500000000000006</v>
      </c>
      <c r="M38" s="8">
        <f>VLOOKUP(O38,'Tuesday Turns'!$A$5:$C$13,2,TRUE)</f>
        <v>0.45833333333333331</v>
      </c>
      <c r="N38" s="8">
        <f>VLOOKUP(O38,'Tuesday Turns'!$A$5:$C$13,3,TRUE)</f>
        <v>0.74930555555555556</v>
      </c>
      <c r="O38" s="9" t="s">
        <v>18</v>
      </c>
      <c r="P38" s="8">
        <f>MOD(N38-M38,1)</f>
        <v>0.29097222222222224</v>
      </c>
      <c r="Q38" s="8">
        <f>VLOOKUP(S38,'Wednesday Turns'!$A$5:$C$13,2,TRUE)</f>
        <v>0.45833333333333331</v>
      </c>
      <c r="R38" s="8">
        <f>VLOOKUP(S38,'Wednesday Turns'!$A$5:$C$13,3,TRUE)</f>
        <v>0.74930555555555556</v>
      </c>
      <c r="S38" s="9" t="s">
        <v>18</v>
      </c>
      <c r="T38" s="8">
        <f>MOD(R38-Q38,1)</f>
        <v>0.29097222222222224</v>
      </c>
      <c r="U38" s="10"/>
      <c r="V38" s="10"/>
      <c r="W38" s="11" t="s">
        <v>15</v>
      </c>
      <c r="X38" s="10"/>
      <c r="Y38" s="10"/>
      <c r="Z38" s="10"/>
      <c r="AA38" s="11" t="s">
        <v>15</v>
      </c>
      <c r="AB38" s="10"/>
      <c r="AC38" s="10" t="s">
        <v>0</v>
      </c>
      <c r="AD38" s="10" t="s">
        <v>0</v>
      </c>
      <c r="AE38" s="11" t="s">
        <v>15</v>
      </c>
      <c r="AF38" s="10" t="s">
        <v>0</v>
      </c>
    </row>
    <row r="39" spans="1:32" s="3" customFormat="1" ht="35.15" customHeight="1" x14ac:dyDescent="0.5">
      <c r="A39" s="24" t="str">
        <f>HLOOKUP($AB$4,Drivers!$A$1:$H$34,C39+1)</f>
        <v>JAMES</v>
      </c>
      <c r="B39" s="15">
        <f t="shared" si="0"/>
        <v>46229</v>
      </c>
      <c r="C39" s="29">
        <v>32</v>
      </c>
      <c r="D39" s="5"/>
      <c r="E39" s="6">
        <v>0.81527777777777777</v>
      </c>
      <c r="F39" s="6">
        <v>0.23194444444444443</v>
      </c>
      <c r="G39" s="7" t="s">
        <v>14</v>
      </c>
      <c r="H39" s="6">
        <f>MOD(F39-E39,1)</f>
        <v>0.41666666666666663</v>
      </c>
      <c r="I39" s="6">
        <v>0.78333333333333333</v>
      </c>
      <c r="J39" s="6">
        <v>0.19999999999999998</v>
      </c>
      <c r="K39" s="7" t="s">
        <v>14</v>
      </c>
      <c r="L39" s="6">
        <f t="shared" si="7"/>
        <v>0.41666666666666663</v>
      </c>
      <c r="M39" s="6">
        <v>0.70000000000000007</v>
      </c>
      <c r="N39" s="6">
        <v>0.11666666666666667</v>
      </c>
      <c r="O39" s="7" t="s">
        <v>14</v>
      </c>
      <c r="P39" s="6">
        <f t="shared" ref="P39" si="8">MOD(N39-M39,1)</f>
        <v>0.41666666666666663</v>
      </c>
      <c r="Q39" s="8">
        <f>VLOOKUP(S39,'Wednesday Turns'!$A$5:$C$13,2,TRUE)</f>
        <v>0.8208333333333333</v>
      </c>
      <c r="R39" s="8">
        <f>VLOOKUP(S39,'Wednesday Turns'!$A$5:$C$13,3,TRUE)</f>
        <v>0.16805555555555557</v>
      </c>
      <c r="S39" s="9" t="s">
        <v>20</v>
      </c>
      <c r="T39" s="8">
        <f>MOD(R39-Q39,1)</f>
        <v>0.34722222222222232</v>
      </c>
      <c r="U39" s="8">
        <f>VLOOKUP(W39,'Thursday Turns'!$A$5:$C$13,2,TRUE)</f>
        <v>0.70972222222222225</v>
      </c>
      <c r="V39" s="8">
        <f>VLOOKUP(W39,'Thursday Turns'!$A$5:$C$13,3,TRUE)</f>
        <v>9.0277777777777769E-3</v>
      </c>
      <c r="W39" s="9" t="s">
        <v>91</v>
      </c>
      <c r="X39" s="8">
        <f>MOD(V39-U39,1)</f>
        <v>0.29930555555555549</v>
      </c>
      <c r="Y39" s="10"/>
      <c r="Z39" s="10"/>
      <c r="AA39" s="11" t="s">
        <v>15</v>
      </c>
      <c r="AB39" s="10"/>
      <c r="AC39" s="10" t="s">
        <v>0</v>
      </c>
      <c r="AD39" s="10" t="s">
        <v>0</v>
      </c>
      <c r="AE39" s="11" t="s">
        <v>15</v>
      </c>
      <c r="AF39" s="10" t="s">
        <v>0</v>
      </c>
    </row>
    <row r="40" spans="1:32" s="3" customFormat="1" ht="35.15" customHeight="1" x14ac:dyDescent="0.5">
      <c r="A40" s="24" t="str">
        <f>HLOOKUP($AB$4,Drivers!$A$1:$H$34,C40+1)</f>
        <v>CAMBRIDGE</v>
      </c>
      <c r="B40" s="15">
        <f>$AB$4</f>
        <v>46005</v>
      </c>
      <c r="C40" s="29">
        <v>33</v>
      </c>
      <c r="D40" s="5">
        <v>39.32</v>
      </c>
      <c r="E40" s="10" t="s">
        <v>0</v>
      </c>
      <c r="F40" s="10" t="s">
        <v>0</v>
      </c>
      <c r="G40" s="11" t="s">
        <v>15</v>
      </c>
      <c r="H40" s="10" t="s">
        <v>0</v>
      </c>
      <c r="I40" s="10" t="s">
        <v>0</v>
      </c>
      <c r="J40" s="10" t="s">
        <v>0</v>
      </c>
      <c r="K40" s="11" t="s">
        <v>15</v>
      </c>
      <c r="L40" s="10" t="s">
        <v>0</v>
      </c>
      <c r="M40" s="10" t="s">
        <v>0</v>
      </c>
      <c r="N40" s="10" t="s">
        <v>0</v>
      </c>
      <c r="O40" s="11" t="s">
        <v>15</v>
      </c>
      <c r="P40" s="10" t="s">
        <v>0</v>
      </c>
      <c r="Q40" s="10" t="s">
        <v>0</v>
      </c>
      <c r="R40" s="10" t="s">
        <v>0</v>
      </c>
      <c r="S40" s="11" t="s">
        <v>15</v>
      </c>
      <c r="T40" s="10" t="s">
        <v>0</v>
      </c>
      <c r="U40" s="10" t="s">
        <v>0</v>
      </c>
      <c r="V40" s="10" t="s">
        <v>0</v>
      </c>
      <c r="W40" s="11" t="s">
        <v>15</v>
      </c>
      <c r="X40" s="10" t="s">
        <v>0</v>
      </c>
      <c r="Y40" s="6">
        <v>0.66527777777777775</v>
      </c>
      <c r="Z40" s="6">
        <v>8.1944444444444445E-2</v>
      </c>
      <c r="AA40" s="7" t="s">
        <v>14</v>
      </c>
      <c r="AB40" s="6">
        <f>MOD(Z40-Y40,1)</f>
        <v>0.41666666666666674</v>
      </c>
      <c r="AC40" s="8">
        <f>VLOOKUP(AE40,'Saturday Turns'!$A$5:$C$13,2,TRUE)</f>
        <v>0.66805555555555551</v>
      </c>
      <c r="AD40" s="8">
        <f>VLOOKUP(AE40,'Saturday Turns'!$A$5:$C$13,3,TRUE)</f>
        <v>7.6388888888888886E-3</v>
      </c>
      <c r="AE40" s="9" t="s">
        <v>34</v>
      </c>
      <c r="AF40" s="8">
        <f>MOD(AD40-AC40,1)</f>
        <v>0.33958333333333335</v>
      </c>
    </row>
    <row r="41" spans="1:32" ht="17.25" customHeight="1" x14ac:dyDescent="0.45">
      <c r="C41" s="31" t="s">
        <v>36</v>
      </c>
      <c r="D41" s="32">
        <v>1107.56</v>
      </c>
      <c r="E41" s="32" t="s">
        <v>37</v>
      </c>
      <c r="F41" s="31" t="s">
        <v>38</v>
      </c>
      <c r="G41" s="32">
        <v>34.380000000000003</v>
      </c>
      <c r="H41" s="31" t="s">
        <v>0</v>
      </c>
      <c r="I41" s="31" t="s">
        <v>0</v>
      </c>
      <c r="J41" s="31" t="s">
        <v>0</v>
      </c>
      <c r="K41" s="31" t="s">
        <v>0</v>
      </c>
      <c r="L41" s="31" t="s">
        <v>0</v>
      </c>
      <c r="M41" s="31" t="s">
        <v>0</v>
      </c>
      <c r="N41" s="31" t="s">
        <v>0</v>
      </c>
      <c r="O41" s="31" t="s">
        <v>0</v>
      </c>
      <c r="P41" s="31" t="s">
        <v>0</v>
      </c>
      <c r="Q41" s="31" t="s">
        <v>0</v>
      </c>
      <c r="R41" s="31" t="s">
        <v>0</v>
      </c>
      <c r="S41" s="31" t="s">
        <v>0</v>
      </c>
      <c r="T41" s="31" t="s">
        <v>0</v>
      </c>
      <c r="U41" s="31" t="s">
        <v>0</v>
      </c>
      <c r="V41" s="31" t="s">
        <v>0</v>
      </c>
      <c r="W41" s="31" t="s">
        <v>0</v>
      </c>
      <c r="X41" s="31" t="s">
        <v>0</v>
      </c>
      <c r="Y41" s="31" t="s">
        <v>0</v>
      </c>
      <c r="Z41" s="31" t="s">
        <v>0</v>
      </c>
      <c r="AA41" s="31" t="s">
        <v>0</v>
      </c>
      <c r="AB41" s="31" t="s">
        <v>0</v>
      </c>
      <c r="AC41" s="31" t="s">
        <v>0</v>
      </c>
      <c r="AD41" s="31" t="s">
        <v>0</v>
      </c>
      <c r="AE41" s="31" t="s">
        <v>0</v>
      </c>
      <c r="AF41" s="31" t="s">
        <v>0</v>
      </c>
    </row>
  </sheetData>
  <mergeCells count="14">
    <mergeCell ref="Q6:T6"/>
    <mergeCell ref="U6:X6"/>
    <mergeCell ref="Y6:AB6"/>
    <mergeCell ref="AC6:AF6"/>
    <mergeCell ref="C2:AF2"/>
    <mergeCell ref="D4:I4"/>
    <mergeCell ref="P4:X4"/>
    <mergeCell ref="Z4:AA4"/>
    <mergeCell ref="AB4:AF4"/>
    <mergeCell ref="C6:C7"/>
    <mergeCell ref="D6:D7"/>
    <mergeCell ref="E6:H6"/>
    <mergeCell ref="I6:L6"/>
    <mergeCell ref="M6:P6"/>
  </mergeCells>
  <phoneticPr fontId="15" type="noConversion"/>
  <printOptions horizontalCentered="1" verticalCentered="1"/>
  <pageMargins left="0.23622047244094491" right="0.23622047244094491" top="0" bottom="0" header="0" footer="0.31496062992125984"/>
  <pageSetup paperSize="9" scale="4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C680C-9C57-4738-9720-845F185E2CC8}">
  <dimension ref="A1:I265"/>
  <sheetViews>
    <sheetView topLeftCell="A52" zoomScale="80" zoomScaleNormal="80" workbookViewId="0">
      <selection activeCell="F231" sqref="F231"/>
    </sheetView>
  </sheetViews>
  <sheetFormatPr defaultColWidth="9" defaultRowHeight="21.45" x14ac:dyDescent="0.7"/>
  <cols>
    <col min="1" max="1" width="55" style="16" customWidth="1"/>
    <col min="2" max="2" width="22.35546875" style="16" customWidth="1"/>
    <col min="3" max="3" width="69.140625" style="16" customWidth="1"/>
    <col min="4" max="5" width="15.640625" style="16" bestFit="1" customWidth="1"/>
    <col min="6" max="6" width="14.140625" style="26" bestFit="1" customWidth="1"/>
    <col min="7" max="7" width="11.5" style="26" bestFit="1" customWidth="1"/>
    <col min="8" max="8" width="17" style="16" bestFit="1" customWidth="1"/>
    <col min="9" max="9" width="13.140625" style="16" bestFit="1" customWidth="1"/>
    <col min="10" max="16384" width="9" style="16"/>
  </cols>
  <sheetData>
    <row r="1" spans="1:9" x14ac:dyDescent="0.7">
      <c r="A1" s="18" t="s">
        <v>64</v>
      </c>
      <c r="B1" s="18" t="s">
        <v>65</v>
      </c>
      <c r="C1" s="18" t="s">
        <v>66</v>
      </c>
      <c r="D1" s="18" t="s">
        <v>67</v>
      </c>
      <c r="E1" s="18" t="s">
        <v>68</v>
      </c>
      <c r="F1" s="25" t="s">
        <v>69</v>
      </c>
      <c r="G1" s="25" t="s">
        <v>70</v>
      </c>
      <c r="H1" s="18" t="s">
        <v>71</v>
      </c>
      <c r="I1" s="18" t="s">
        <v>72</v>
      </c>
    </row>
    <row r="2" spans="1:9" x14ac:dyDescent="0.7">
      <c r="A2" s="19" t="str">
        <f>VLOOKUP(Control!A1,Roster1!$B$40:$AF$40,Control!B1,TRUE)</f>
        <v>RD</v>
      </c>
      <c r="B2" s="17" t="s">
        <v>75</v>
      </c>
      <c r="C2" s="17"/>
      <c r="D2" s="20">
        <f>Control!$A1</f>
        <v>46005</v>
      </c>
      <c r="E2" s="20">
        <f>IFERROR(IF($G2-$F2&lt;0,Control!$A1+1,Control!$A1),Control!$A1)</f>
        <v>46005</v>
      </c>
      <c r="F2" s="23" t="str">
        <f>VLOOKUP(Control!$A1,Roster1!$B$40:$AF$40,Control!$C1,TRUE)</f>
        <v/>
      </c>
      <c r="G2" s="23" t="str">
        <f>VLOOKUP(Control!$A1,Roster1!$B$40:$AF$40,Control!$D1,TRUE)</f>
        <v/>
      </c>
      <c r="H2" s="17" t="s">
        <v>73</v>
      </c>
      <c r="I2" s="17" t="s">
        <v>74</v>
      </c>
    </row>
    <row r="3" spans="1:9" x14ac:dyDescent="0.7">
      <c r="A3" s="19" t="str">
        <f>VLOOKUP(Control!A2,Roster1!$B$40:$AF$40,Control!B2,TRUE)</f>
        <v>RD</v>
      </c>
      <c r="B3" s="17" t="s">
        <v>75</v>
      </c>
      <c r="C3" s="17"/>
      <c r="D3" s="20">
        <f>Control!$A2</f>
        <v>46006</v>
      </c>
      <c r="E3" s="20">
        <f>IFERROR(IF($G3-$F3&lt;0,Control!$A2+1,Control!$A2),Control!$A2)</f>
        <v>46006</v>
      </c>
      <c r="F3" s="23" t="str">
        <f>VLOOKUP(Control!$A2,Roster1!$B$40:$AF$40,Control!$C2,TRUE)</f>
        <v/>
      </c>
      <c r="G3" s="23" t="str">
        <f>VLOOKUP(Control!$A2,Roster1!$B$40:$AF$40,Control!$D2,TRUE)</f>
        <v/>
      </c>
      <c r="H3" s="17" t="s">
        <v>73</v>
      </c>
      <c r="I3" s="17" t="s">
        <v>74</v>
      </c>
    </row>
    <row r="4" spans="1:9" x14ac:dyDescent="0.7">
      <c r="A4" s="19" t="str">
        <f>VLOOKUP(Control!A3,Roster1!$B$40:$AF$40,Control!B3,TRUE)</f>
        <v>RD</v>
      </c>
      <c r="B4" s="17" t="s">
        <v>75</v>
      </c>
      <c r="C4" s="17"/>
      <c r="D4" s="20">
        <f>Control!$A3</f>
        <v>46007</v>
      </c>
      <c r="E4" s="20">
        <f>IFERROR(IF($G4-$F4&lt;0,Control!$A3+1,Control!$A3),Control!$A3)</f>
        <v>46007</v>
      </c>
      <c r="F4" s="23" t="str">
        <f>VLOOKUP(Control!$A3,Roster1!$B$40:$AF$40,Control!$C3,TRUE)</f>
        <v/>
      </c>
      <c r="G4" s="23" t="str">
        <f>VLOOKUP(Control!$A3,Roster1!$B$40:$AF$40,Control!$D3,TRUE)</f>
        <v/>
      </c>
      <c r="H4" s="17" t="s">
        <v>73</v>
      </c>
      <c r="I4" s="17" t="s">
        <v>74</v>
      </c>
    </row>
    <row r="5" spans="1:9" x14ac:dyDescent="0.7">
      <c r="A5" s="19" t="str">
        <f>VLOOKUP(Control!A4,Roster1!$B$40:$AF$40,Control!B4,TRUE)</f>
        <v>RD</v>
      </c>
      <c r="B5" s="17" t="s">
        <v>75</v>
      </c>
      <c r="C5" s="17"/>
      <c r="D5" s="20">
        <f>Control!$A4</f>
        <v>46008</v>
      </c>
      <c r="E5" s="20">
        <f>IFERROR(IF($G5-$F5&lt;0,Control!$A4+1,Control!$A4),Control!$A4)</f>
        <v>46008</v>
      </c>
      <c r="F5" s="23" t="str">
        <f>VLOOKUP(Control!$A4,Roster1!$B$40:$AF$40,Control!$C4,TRUE)</f>
        <v/>
      </c>
      <c r="G5" s="23" t="str">
        <f>VLOOKUP(Control!$A4,Roster1!$B$40:$AF$40,Control!$D4,TRUE)</f>
        <v/>
      </c>
      <c r="H5" s="17" t="s">
        <v>73</v>
      </c>
      <c r="I5" s="17" t="s">
        <v>74</v>
      </c>
    </row>
    <row r="6" spans="1:9" x14ac:dyDescent="0.7">
      <c r="A6" s="19" t="str">
        <f>VLOOKUP(Control!A5,Roster1!$B$40:$AF$40,Control!B5,TRUE)</f>
        <v>RD</v>
      </c>
      <c r="B6" s="17" t="s">
        <v>75</v>
      </c>
      <c r="C6" s="17"/>
      <c r="D6" s="20">
        <f>Control!$A5</f>
        <v>46009</v>
      </c>
      <c r="E6" s="20">
        <f>IFERROR(IF($G6-$F6&lt;0,Control!$A5+1,Control!$A5),Control!$A5)</f>
        <v>46009</v>
      </c>
      <c r="F6" s="23" t="str">
        <f>VLOOKUP(Control!$A5,Roster1!$B$40:$AF$40,Control!$C5,TRUE)</f>
        <v/>
      </c>
      <c r="G6" s="23" t="str">
        <f>VLOOKUP(Control!$A5,Roster1!$B$40:$AF$40,Control!$D5,TRUE)</f>
        <v/>
      </c>
      <c r="H6" s="17" t="s">
        <v>73</v>
      </c>
      <c r="I6" s="17" t="s">
        <v>74</v>
      </c>
    </row>
    <row r="7" spans="1:9" x14ac:dyDescent="0.7">
      <c r="A7" s="19" t="str">
        <f>VLOOKUP(Control!A6,Roster1!$B$40:$AF$40,Control!B6,TRUE)</f>
        <v>SP</v>
      </c>
      <c r="B7" s="17" t="s">
        <v>75</v>
      </c>
      <c r="C7" s="17"/>
      <c r="D7" s="20">
        <f>Control!$A6</f>
        <v>46010</v>
      </c>
      <c r="E7" s="20">
        <f>IFERROR(IF($G7-$F7&lt;0,Control!$A6+1,Control!$A6),Control!$A6)</f>
        <v>46011</v>
      </c>
      <c r="F7" s="23">
        <f>VLOOKUP(Control!$A6,Roster1!$B$40:$AF$40,Control!$C6,TRUE)</f>
        <v>0.66527777777777775</v>
      </c>
      <c r="G7" s="23">
        <f>VLOOKUP(Control!$A6,Roster1!$B$40:$AF$40,Control!$D6,TRUE)</f>
        <v>8.1944444444444445E-2</v>
      </c>
      <c r="H7" s="17" t="s">
        <v>73</v>
      </c>
      <c r="I7" s="17" t="s">
        <v>74</v>
      </c>
    </row>
    <row r="8" spans="1:9" x14ac:dyDescent="0.7">
      <c r="A8" s="19" t="str">
        <f>VLOOKUP(Control!A7,Roster1!$B$40:$AF$40,Control!B7,TRUE)</f>
        <v>CU  1907</v>
      </c>
      <c r="B8" s="17" t="s">
        <v>75</v>
      </c>
      <c r="C8" s="17"/>
      <c r="D8" s="20">
        <f>Control!$A7</f>
        <v>46011</v>
      </c>
      <c r="E8" s="20">
        <f>IFERROR(IF($G8-$F8&lt;0,Control!$A7+1,Control!$A7),Control!$A7)</f>
        <v>46012</v>
      </c>
      <c r="F8" s="23">
        <f>VLOOKUP(Control!$A7,Roster1!$B$40:$AF$40,Control!$C7,TRUE)</f>
        <v>0.66805555555555551</v>
      </c>
      <c r="G8" s="23">
        <f>VLOOKUP(Control!$A7,Roster1!$B$40:$AF$40,Control!$D7,TRUE)</f>
        <v>7.6388888888888886E-3</v>
      </c>
      <c r="H8" s="17" t="s">
        <v>73</v>
      </c>
      <c r="I8" s="17" t="s">
        <v>74</v>
      </c>
    </row>
    <row r="9" spans="1:9" x14ac:dyDescent="0.7">
      <c r="A9" s="19" t="str">
        <f>VLOOKUP(Control!A8,Roster1!$B$8:$AF$39,Control!B8,TRUE)</f>
        <v>CU  2908</v>
      </c>
      <c r="B9" s="17" t="s">
        <v>75</v>
      </c>
      <c r="C9" s="17"/>
      <c r="D9" s="20">
        <f>Control!$A8</f>
        <v>46012</v>
      </c>
      <c r="E9" s="20">
        <f>IFERROR(IF($G9-$F9&lt;0,Control!$A8+1,Control!$A8),Control!$A8)</f>
        <v>46013</v>
      </c>
      <c r="F9" s="23">
        <f>VLOOKUP(Control!$A8,Roster1!$B$8:$AF$39,Control!$C8,TRUE)</f>
        <v>0.8569444444444444</v>
      </c>
      <c r="G9" s="23">
        <f>VLOOKUP(Control!$A8,Roster1!$B$8:$AF$39,Control!$D8,TRUE)</f>
        <v>0.18333333333333332</v>
      </c>
      <c r="H9" s="17" t="s">
        <v>73</v>
      </c>
      <c r="I9" s="17" t="s">
        <v>74</v>
      </c>
    </row>
    <row r="10" spans="1:9" x14ac:dyDescent="0.7">
      <c r="A10" s="19" t="str">
        <f>VLOOKUP(Control!A9,Roster1!$B$8:$AF$39,Control!B9,TRUE)</f>
        <v>CU  908</v>
      </c>
      <c r="B10" s="17" t="s">
        <v>75</v>
      </c>
      <c r="C10" s="17"/>
      <c r="D10" s="20">
        <f>Control!$A9</f>
        <v>46013</v>
      </c>
      <c r="E10" s="20">
        <f>IFERROR(IF($G10-$F10&lt;0,Control!$A9+1,Control!$A9),Control!$A9)</f>
        <v>46014</v>
      </c>
      <c r="F10" s="23">
        <f>VLOOKUP(Control!$A9,Roster1!$B$8:$AF$39,Control!$C9,TRUE)</f>
        <v>0.8208333333333333</v>
      </c>
      <c r="G10" s="23">
        <f>VLOOKUP(Control!$A9,Roster1!$B$8:$AF$39,Control!$D9,TRUE)</f>
        <v>0.16805555555555557</v>
      </c>
      <c r="H10" s="17" t="s">
        <v>73</v>
      </c>
      <c r="I10" s="17" t="s">
        <v>74</v>
      </c>
    </row>
    <row r="11" spans="1:9" x14ac:dyDescent="0.7">
      <c r="A11" s="19" t="str">
        <f>VLOOKUP(Control!A10,Roster1!$B$8:$AF$39,Control!B10,TRUE)</f>
        <v>CU  909</v>
      </c>
      <c r="B11" s="17" t="s">
        <v>75</v>
      </c>
      <c r="C11" s="17"/>
      <c r="D11" s="20">
        <f>Control!$A10</f>
        <v>46014</v>
      </c>
      <c r="E11" s="20">
        <f>IFERROR(IF($G11-$F11&lt;0,Control!$A10+1,Control!$A10),Control!$A10)</f>
        <v>46015</v>
      </c>
      <c r="F11" s="23">
        <f>VLOOKUP(Control!$A10,Roster1!$B$8:$AF$39,Control!$C10,TRUE)</f>
        <v>0.70972222222222225</v>
      </c>
      <c r="G11" s="23">
        <f>VLOOKUP(Control!$A10,Roster1!$B$8:$AF$39,Control!$D10,TRUE)</f>
        <v>9.0277777777777769E-3</v>
      </c>
      <c r="H11" s="17" t="s">
        <v>73</v>
      </c>
      <c r="I11" s="17" t="s">
        <v>74</v>
      </c>
    </row>
    <row r="12" spans="1:9" x14ac:dyDescent="0.7">
      <c r="A12" s="19" t="str">
        <f>VLOOKUP(Control!A11,Roster1!$B$8:$AF$39,Control!B11,TRUE)</f>
        <v>RD</v>
      </c>
      <c r="B12" s="17" t="s">
        <v>75</v>
      </c>
      <c r="C12" s="17"/>
      <c r="D12" s="20">
        <f>Control!$A11</f>
        <v>46015</v>
      </c>
      <c r="E12" s="20">
        <f>IFERROR(IF($G12-$F12&lt;0,Control!$A11+1,Control!$A11),Control!$A11)</f>
        <v>46015</v>
      </c>
      <c r="F12" s="23" t="str">
        <f>VLOOKUP(Control!$A11,Roster1!$B$8:$AF$39,Control!$C11,TRUE)</f>
        <v/>
      </c>
      <c r="G12" s="23" t="str">
        <f>VLOOKUP(Control!$A11,Roster1!$B$8:$AF$39,Control!$D11,TRUE)</f>
        <v/>
      </c>
      <c r="H12" s="17" t="s">
        <v>73</v>
      </c>
      <c r="I12" s="17" t="s">
        <v>74</v>
      </c>
    </row>
    <row r="13" spans="1:9" x14ac:dyDescent="0.7">
      <c r="A13" s="19" t="str">
        <f>VLOOKUP(Control!A12,Roster1!$B$8:$AF$39,Control!B12,TRUE)</f>
        <v>RD</v>
      </c>
      <c r="B13" s="17" t="s">
        <v>75</v>
      </c>
      <c r="C13" s="17"/>
      <c r="D13" s="20">
        <f>Control!$A12</f>
        <v>46016</v>
      </c>
      <c r="E13" s="20">
        <f>IFERROR(IF($G13-$F13&lt;0,Control!$A12+1,Control!$A12),Control!$A12)</f>
        <v>46016</v>
      </c>
      <c r="F13" s="23" t="str">
        <f>VLOOKUP(Control!$A12,Roster1!$B$8:$AF$39,Control!$C12,TRUE)</f>
        <v/>
      </c>
      <c r="G13" s="23" t="str">
        <f>VLOOKUP(Control!$A12,Roster1!$B$8:$AF$39,Control!$D12,TRUE)</f>
        <v/>
      </c>
      <c r="H13" s="17" t="s">
        <v>73</v>
      </c>
      <c r="I13" s="17" t="s">
        <v>74</v>
      </c>
    </row>
    <row r="14" spans="1:9" x14ac:dyDescent="0.7">
      <c r="A14" s="19" t="str">
        <f>VLOOKUP(Control!A13,Roster1!$B$8:$AF$39,Control!B13,TRUE)</f>
        <v>RD</v>
      </c>
      <c r="B14" s="17" t="s">
        <v>75</v>
      </c>
      <c r="C14" s="17"/>
      <c r="D14" s="20">
        <f>Control!$A13</f>
        <v>46017</v>
      </c>
      <c r="E14" s="20">
        <f>IFERROR(IF($G14-$F14&lt;0,Control!$A13+1,Control!$A13),Control!$A13)</f>
        <v>46017</v>
      </c>
      <c r="F14" s="23" t="str">
        <f>VLOOKUP(Control!$A13,Roster1!$B$8:$AF$39,Control!$C13,TRUE)</f>
        <v/>
      </c>
      <c r="G14" s="23" t="str">
        <f>VLOOKUP(Control!$A13,Roster1!$B$8:$AF$39,Control!$D13,TRUE)</f>
        <v/>
      </c>
      <c r="H14" s="17" t="s">
        <v>73</v>
      </c>
      <c r="I14" s="17" t="s">
        <v>74</v>
      </c>
    </row>
    <row r="15" spans="1:9" x14ac:dyDescent="0.7">
      <c r="A15" s="19" t="str">
        <f>VLOOKUP(Control!A14,Roster1!$B$8:$AF$39,Control!B14,TRUE)</f>
        <v>RD</v>
      </c>
      <c r="B15" s="17" t="s">
        <v>75</v>
      </c>
      <c r="C15" s="17"/>
      <c r="D15" s="20">
        <f>Control!$A14</f>
        <v>46018</v>
      </c>
      <c r="E15" s="20">
        <f>IFERROR(IF($G15-$F15&lt;0,Control!$A14+1,Control!$A14),Control!$A14)</f>
        <v>46018</v>
      </c>
      <c r="F15" s="23" t="str">
        <f>VLOOKUP(Control!$A14,Roster1!$B$8:$AF$39,Control!$C14,TRUE)</f>
        <v/>
      </c>
      <c r="G15" s="23" t="str">
        <f>VLOOKUP(Control!$A14,Roster1!$B$8:$AF$39,Control!$D14,TRUE)</f>
        <v/>
      </c>
      <c r="H15" s="17" t="s">
        <v>73</v>
      </c>
      <c r="I15" s="17" t="s">
        <v>74</v>
      </c>
    </row>
    <row r="16" spans="1:9" x14ac:dyDescent="0.7">
      <c r="A16" s="19" t="str">
        <f>VLOOKUP(Control!A15,Roster1!$B$8:$AF$39,Control!B15,TRUE)</f>
        <v>SP</v>
      </c>
      <c r="B16" s="17" t="s">
        <v>75</v>
      </c>
      <c r="C16" s="17"/>
      <c r="D16" s="20">
        <f>Control!$A15</f>
        <v>46019</v>
      </c>
      <c r="E16" s="20">
        <f>IFERROR(IF($G16-$F16&lt;0,Control!$A15+1,Control!$A15),Control!$A15)</f>
        <v>46019</v>
      </c>
      <c r="F16" s="23">
        <f>VLOOKUP(Control!$A15,Roster1!$B$8:$AF$39,Control!$C15,TRUE)</f>
        <v>0.49652777777777779</v>
      </c>
      <c r="G16" s="23">
        <f>VLOOKUP(Control!$A15,Roster1!$B$8:$AF$39,Control!$D15,TRUE)</f>
        <v>0.82986111111111116</v>
      </c>
      <c r="H16" s="17" t="s">
        <v>73</v>
      </c>
      <c r="I16" s="17" t="s">
        <v>74</v>
      </c>
    </row>
    <row r="17" spans="1:9" x14ac:dyDescent="0.7">
      <c r="A17" s="19" t="str">
        <f>VLOOKUP(Control!A16,Roster1!$B$8:$AF$39,Control!B16,TRUE)</f>
        <v>CU  904</v>
      </c>
      <c r="B17" s="17" t="s">
        <v>75</v>
      </c>
      <c r="C17" s="17"/>
      <c r="D17" s="20">
        <f>Control!$A16</f>
        <v>46020</v>
      </c>
      <c r="E17" s="20">
        <f>IFERROR(IF($G17-$F17&lt;0,Control!$A16+1,Control!$A16),Control!$A16)</f>
        <v>46020</v>
      </c>
      <c r="F17" s="23">
        <f>VLOOKUP(Control!$A16,Roster1!$B$8:$AF$39,Control!$C16,TRUE)</f>
        <v>0.45833333333333331</v>
      </c>
      <c r="G17" s="23">
        <f>VLOOKUP(Control!$A16,Roster1!$B$8:$AF$39,Control!$D16,TRUE)</f>
        <v>0.74930555555555556</v>
      </c>
      <c r="H17" s="17" t="s">
        <v>73</v>
      </c>
      <c r="I17" s="17" t="s">
        <v>74</v>
      </c>
    </row>
    <row r="18" spans="1:9" x14ac:dyDescent="0.7">
      <c r="A18" s="19" t="str">
        <f>VLOOKUP(Control!A17,Roster1!$B$8:$AF$39,Control!B17,TRUE)</f>
        <v>SP</v>
      </c>
      <c r="B18" s="17" t="s">
        <v>75</v>
      </c>
      <c r="C18" s="17"/>
      <c r="D18" s="20">
        <f>Control!$A17</f>
        <v>46021</v>
      </c>
      <c r="E18" s="20">
        <f>IFERROR(IF($G18-$F18&lt;0,Control!$A17+1,Control!$A17),Control!$A17)</f>
        <v>46021</v>
      </c>
      <c r="F18" s="23">
        <f>VLOOKUP(Control!$A17,Roster1!$B$8:$AF$39,Control!$C17,TRUE)</f>
        <v>0.33958333333333335</v>
      </c>
      <c r="G18" s="23">
        <f>VLOOKUP(Control!$A17,Roster1!$B$8:$AF$39,Control!$D17,TRUE)</f>
        <v>0.75624999999999998</v>
      </c>
      <c r="H18" s="17" t="s">
        <v>73</v>
      </c>
      <c r="I18" s="17" t="s">
        <v>74</v>
      </c>
    </row>
    <row r="19" spans="1:9" x14ac:dyDescent="0.7">
      <c r="A19" s="19" t="str">
        <f>VLOOKUP(Control!A18,Roster1!$B$8:$AF$39,Control!B18,TRUE)</f>
        <v>SP</v>
      </c>
      <c r="B19" s="17" t="s">
        <v>75</v>
      </c>
      <c r="C19" s="17"/>
      <c r="D19" s="20">
        <f>Control!$A18</f>
        <v>46022</v>
      </c>
      <c r="E19" s="20">
        <f>IFERROR(IF($G19-$F19&lt;0,Control!$A18+1,Control!$A18),Control!$A18)</f>
        <v>46022</v>
      </c>
      <c r="F19" s="23">
        <f>VLOOKUP(Control!$A18,Roster1!$B$8:$AF$39,Control!$C18,TRUE)</f>
        <v>0.33958333333333335</v>
      </c>
      <c r="G19" s="23">
        <f>VLOOKUP(Control!$A18,Roster1!$B$8:$AF$39,Control!$D18,TRUE)</f>
        <v>0.75624999999999998</v>
      </c>
      <c r="H19" s="17" t="s">
        <v>73</v>
      </c>
      <c r="I19" s="17" t="s">
        <v>74</v>
      </c>
    </row>
    <row r="20" spans="1:9" x14ac:dyDescent="0.7">
      <c r="A20" s="19" t="str">
        <f>VLOOKUP(Control!A19,Roster1!$B$8:$AF$39,Control!B19,TRUE)</f>
        <v>CU  903</v>
      </c>
      <c r="B20" s="17" t="s">
        <v>75</v>
      </c>
      <c r="C20" s="17"/>
      <c r="D20" s="20">
        <f>Control!$A19</f>
        <v>46023</v>
      </c>
      <c r="E20" s="20">
        <f>IFERROR(IF($G20-$F20&lt;0,Control!$A19+1,Control!$A19),Control!$A19)</f>
        <v>46023</v>
      </c>
      <c r="F20" s="23">
        <f>VLOOKUP(Control!$A19,Roster1!$B$8:$AF$39,Control!$C19,TRUE)</f>
        <v>0.28819444444444442</v>
      </c>
      <c r="G20" s="23">
        <f>VLOOKUP(Control!$A19,Roster1!$B$8:$AF$39,Control!$D19,TRUE)</f>
        <v>0.49930555555555556</v>
      </c>
      <c r="H20" s="17" t="s">
        <v>73</v>
      </c>
      <c r="I20" s="17" t="s">
        <v>74</v>
      </c>
    </row>
    <row r="21" spans="1:9" x14ac:dyDescent="0.7">
      <c r="A21" s="19" t="str">
        <f>VLOOKUP(Control!A20,Roster1!$B$8:$AF$39,Control!B20,TRUE)</f>
        <v>RD</v>
      </c>
      <c r="B21" s="17" t="s">
        <v>75</v>
      </c>
      <c r="C21" s="17"/>
      <c r="D21" s="20">
        <f>Control!$A20</f>
        <v>46024</v>
      </c>
      <c r="E21" s="20">
        <f>IFERROR(IF($G21-$F21&lt;0,Control!$A20+1,Control!$A20),Control!$A20)</f>
        <v>46024</v>
      </c>
      <c r="F21" s="23" t="str">
        <f>VLOOKUP(Control!$A20,Roster1!$B$8:$AF$39,Control!$C20,TRUE)</f>
        <v/>
      </c>
      <c r="G21" s="23" t="str">
        <f>VLOOKUP(Control!$A20,Roster1!$B$8:$AF$39,Control!$D20,TRUE)</f>
        <v/>
      </c>
      <c r="H21" s="17" t="s">
        <v>73</v>
      </c>
      <c r="I21" s="17" t="s">
        <v>74</v>
      </c>
    </row>
    <row r="22" spans="1:9" x14ac:dyDescent="0.7">
      <c r="A22" s="19" t="str">
        <f>VLOOKUP(Control!A21,Roster1!$B$8:$AF$39,Control!B21,TRUE)</f>
        <v>RD</v>
      </c>
      <c r="B22" s="17" t="s">
        <v>75</v>
      </c>
      <c r="C22" s="17"/>
      <c r="D22" s="20">
        <f>Control!$A21</f>
        <v>46025</v>
      </c>
      <c r="E22" s="20">
        <f>IFERROR(IF($G22-$F22&lt;0,Control!$A21+1,Control!$A21),Control!$A21)</f>
        <v>46025</v>
      </c>
      <c r="F22" s="23" t="str">
        <f>VLOOKUP(Control!$A21,Roster1!$B$8:$AF$39,Control!$C21,TRUE)</f>
        <v/>
      </c>
      <c r="G22" s="23" t="str">
        <f>VLOOKUP(Control!$A21,Roster1!$B$8:$AF$39,Control!$D21,TRUE)</f>
        <v/>
      </c>
      <c r="H22" s="17" t="s">
        <v>73</v>
      </c>
      <c r="I22" s="17" t="s">
        <v>74</v>
      </c>
    </row>
    <row r="23" spans="1:9" x14ac:dyDescent="0.7">
      <c r="A23" s="19" t="str">
        <f>VLOOKUP(Control!A22,Roster1!$B$8:$AF$39,Control!B22,TRUE)</f>
        <v>RD</v>
      </c>
      <c r="B23" s="17" t="s">
        <v>75</v>
      </c>
      <c r="C23" s="17"/>
      <c r="D23" s="20">
        <f>Control!$A22</f>
        <v>46026</v>
      </c>
      <c r="E23" s="20">
        <f>IFERROR(IF($G23-$F23&lt;0,Control!$A22+1,Control!$A22),Control!$A22)</f>
        <v>46026</v>
      </c>
      <c r="F23" s="23" t="str">
        <f>VLOOKUP(Control!$A22,Roster1!$B$8:$AF$39,Control!$C22,TRUE)</f>
        <v/>
      </c>
      <c r="G23" s="23" t="str">
        <f>VLOOKUP(Control!$A22,Roster1!$B$8:$AF$39,Control!$D22,TRUE)</f>
        <v/>
      </c>
      <c r="H23" s="17" t="s">
        <v>73</v>
      </c>
      <c r="I23" s="17" t="s">
        <v>74</v>
      </c>
    </row>
    <row r="24" spans="1:9" x14ac:dyDescent="0.7">
      <c r="A24" s="19" t="str">
        <f>VLOOKUP(Control!A23,Roster1!$B$8:$AF$39,Control!B23,TRUE)</f>
        <v>CU  909</v>
      </c>
      <c r="B24" s="17" t="s">
        <v>75</v>
      </c>
      <c r="C24" s="17"/>
      <c r="D24" s="20">
        <f>Control!$A23</f>
        <v>46027</v>
      </c>
      <c r="E24" s="20">
        <f>IFERROR(IF($G24-$F24&lt;0,Control!$A23+1,Control!$A23),Control!$A23)</f>
        <v>46028</v>
      </c>
      <c r="F24" s="23">
        <f>VLOOKUP(Control!$A23,Roster1!$B$8:$AF$39,Control!$C23,TRUE)</f>
        <v>0.70972222222222225</v>
      </c>
      <c r="G24" s="23">
        <f>VLOOKUP(Control!$A23,Roster1!$B$8:$AF$39,Control!$D23,TRUE)</f>
        <v>9.0277777777777769E-3</v>
      </c>
      <c r="H24" s="17" t="s">
        <v>73</v>
      </c>
      <c r="I24" s="17" t="s">
        <v>74</v>
      </c>
    </row>
    <row r="25" spans="1:9" x14ac:dyDescent="0.7">
      <c r="A25" s="19" t="str">
        <f>VLOOKUP(Control!A24,Roster1!$B$8:$AF$39,Control!B24,TRUE)</f>
        <v>SP</v>
      </c>
      <c r="B25" s="17" t="s">
        <v>75</v>
      </c>
      <c r="C25" s="17"/>
      <c r="D25" s="20">
        <f>Control!$A24</f>
        <v>46028</v>
      </c>
      <c r="E25" s="20">
        <f>IFERROR(IF($G25-$F25&lt;0,Control!$A24+1,Control!$A24),Control!$A24)</f>
        <v>46029</v>
      </c>
      <c r="F25" s="23">
        <f>VLOOKUP(Control!$A24,Roster1!$B$8:$AF$39,Control!$C24,TRUE)</f>
        <v>0.78333333333333333</v>
      </c>
      <c r="G25" s="23">
        <f>VLOOKUP(Control!$A24,Roster1!$B$8:$AF$39,Control!$D24,TRUE)</f>
        <v>0.2</v>
      </c>
      <c r="H25" s="17" t="s">
        <v>73</v>
      </c>
      <c r="I25" s="17" t="s">
        <v>74</v>
      </c>
    </row>
    <row r="26" spans="1:9" x14ac:dyDescent="0.7">
      <c r="A26" s="19" t="str">
        <f>VLOOKUP(Control!A25,Roster1!$B$8:$AF$39,Control!B25,TRUE)</f>
        <v>SP</v>
      </c>
      <c r="B26" s="17" t="s">
        <v>75</v>
      </c>
      <c r="C26" s="17"/>
      <c r="D26" s="20">
        <f>Control!$A25</f>
        <v>46029</v>
      </c>
      <c r="E26" s="20">
        <f>IFERROR(IF($G26-$F26&lt;0,Control!$A25+1,Control!$A25),Control!$A25)</f>
        <v>46030</v>
      </c>
      <c r="F26" s="23">
        <f>VLOOKUP(Control!$A25,Roster1!$B$8:$AF$39,Control!$C25,TRUE)</f>
        <v>0.78333333333333333</v>
      </c>
      <c r="G26" s="23">
        <f>VLOOKUP(Control!$A25,Roster1!$B$8:$AF$39,Control!$D25,TRUE)</f>
        <v>0.2</v>
      </c>
      <c r="H26" s="17" t="s">
        <v>73</v>
      </c>
      <c r="I26" s="17" t="s">
        <v>74</v>
      </c>
    </row>
    <row r="27" spans="1:9" x14ac:dyDescent="0.7">
      <c r="A27" s="19" t="str">
        <f>VLOOKUP(Control!A26,Roster1!$B$8:$AF$39,Control!B26,TRUE)</f>
        <v>SP</v>
      </c>
      <c r="B27" s="17" t="s">
        <v>75</v>
      </c>
      <c r="C27" s="17"/>
      <c r="D27" s="20">
        <f>Control!$A26</f>
        <v>46030</v>
      </c>
      <c r="E27" s="20">
        <f>IFERROR(IF($G27-$F27&lt;0,Control!$A26+1,Control!$A26),Control!$A26)</f>
        <v>46031</v>
      </c>
      <c r="F27" s="23">
        <f>VLOOKUP(Control!$A26,Roster1!$B$8:$AF$39,Control!$C26,TRUE)</f>
        <v>0.78333333333333333</v>
      </c>
      <c r="G27" s="23">
        <f>VLOOKUP(Control!$A26,Roster1!$B$8:$AF$39,Control!$D26,TRUE)</f>
        <v>0.2</v>
      </c>
      <c r="H27" s="17" t="s">
        <v>73</v>
      </c>
      <c r="I27" s="17" t="s">
        <v>74</v>
      </c>
    </row>
    <row r="28" spans="1:9" x14ac:dyDescent="0.7">
      <c r="A28" s="19" t="str">
        <f>VLOOKUP(Control!A27,Roster1!$B$8:$AF$39,Control!B27,TRUE)</f>
        <v>CU  908</v>
      </c>
      <c r="B28" s="17" t="s">
        <v>75</v>
      </c>
      <c r="C28" s="17"/>
      <c r="D28" s="20">
        <f>Control!$A27</f>
        <v>46031</v>
      </c>
      <c r="E28" s="20">
        <f>IFERROR(IF($G28-$F28&lt;0,Control!$A27+1,Control!$A27),Control!$A27)</f>
        <v>46032</v>
      </c>
      <c r="F28" s="23">
        <f>VLOOKUP(Control!$A27,Roster1!$B$8:$AF$39,Control!$C27,TRUE)</f>
        <v>0.8208333333333333</v>
      </c>
      <c r="G28" s="23">
        <f>VLOOKUP(Control!$A27,Roster1!$B$8:$AF$39,Control!$D27,TRUE)</f>
        <v>0.16805555555555557</v>
      </c>
      <c r="H28" s="17" t="s">
        <v>73</v>
      </c>
      <c r="I28" s="17" t="s">
        <v>74</v>
      </c>
    </row>
    <row r="29" spans="1:9" x14ac:dyDescent="0.7">
      <c r="A29" s="19" t="str">
        <f>VLOOKUP(Control!A28,Roster1!$B$8:$AF$39,Control!B28,TRUE)</f>
        <v>CU  1908</v>
      </c>
      <c r="B29" s="17" t="s">
        <v>75</v>
      </c>
      <c r="C29" s="17"/>
      <c r="D29" s="20">
        <f>Control!$A28</f>
        <v>46032</v>
      </c>
      <c r="E29" s="20">
        <f>IFERROR(IF($G29-$F29&lt;0,Control!$A28+1,Control!$A28),Control!$A28)</f>
        <v>46033</v>
      </c>
      <c r="F29" s="23">
        <f>VLOOKUP(Control!$A28,Roster1!$B$8:$AF$39,Control!$C28,TRUE)</f>
        <v>0.70972222222222225</v>
      </c>
      <c r="G29" s="23">
        <f>VLOOKUP(Control!$A28,Roster1!$B$8:$AF$39,Control!$D28,TRUE)</f>
        <v>6.5277777777777782E-2</v>
      </c>
      <c r="H29" s="17" t="s">
        <v>73</v>
      </c>
      <c r="I29" s="17" t="s">
        <v>74</v>
      </c>
    </row>
    <row r="30" spans="1:9" x14ac:dyDescent="0.7">
      <c r="A30" s="19" t="str">
        <f>VLOOKUP(Control!A29,Roster1!$B$8:$AF$39,Control!B29,TRUE)</f>
        <v>RD</v>
      </c>
      <c r="B30" s="17" t="s">
        <v>75</v>
      </c>
      <c r="C30" s="17"/>
      <c r="D30" s="20">
        <f>Control!$A29</f>
        <v>46033</v>
      </c>
      <c r="E30" s="20">
        <f>IFERROR(IF($G30-$F30&lt;0,Control!$A29+1,Control!$A29),Control!$A29)</f>
        <v>46033</v>
      </c>
      <c r="F30" s="23" t="str">
        <f>VLOOKUP(Control!$A29,Roster1!$B$8:$AF$39,Control!$C29,TRUE)</f>
        <v/>
      </c>
      <c r="G30" s="23" t="str">
        <f>VLOOKUP(Control!$A29,Roster1!$B$8:$AF$39,Control!$D29,TRUE)</f>
        <v/>
      </c>
      <c r="H30" s="17" t="s">
        <v>73</v>
      </c>
      <c r="I30" s="17" t="s">
        <v>74</v>
      </c>
    </row>
    <row r="31" spans="1:9" x14ac:dyDescent="0.7">
      <c r="A31" s="19" t="str">
        <f>VLOOKUP(Control!A30,Roster1!$B$8:$AF$39,Control!B30,TRUE)</f>
        <v>RD</v>
      </c>
      <c r="B31" s="17" t="s">
        <v>75</v>
      </c>
      <c r="C31" s="17"/>
      <c r="D31" s="20">
        <f>Control!$A30</f>
        <v>46034</v>
      </c>
      <c r="E31" s="20">
        <f>IFERROR(IF($G31-$F31&lt;0,Control!$A30+1,Control!$A30),Control!$A30)</f>
        <v>46034</v>
      </c>
      <c r="F31" s="23" t="str">
        <f>VLOOKUP(Control!$A30,Roster1!$B$8:$AF$39,Control!$C30,TRUE)</f>
        <v/>
      </c>
      <c r="G31" s="23" t="str">
        <f>VLOOKUP(Control!$A30,Roster1!$B$8:$AF$39,Control!$D30,TRUE)</f>
        <v/>
      </c>
      <c r="H31" s="17" t="s">
        <v>73</v>
      </c>
      <c r="I31" s="17" t="s">
        <v>74</v>
      </c>
    </row>
    <row r="32" spans="1:9" x14ac:dyDescent="0.7">
      <c r="A32" s="19" t="str">
        <f>VLOOKUP(Control!A31,Roster1!$B$8:$AF$39,Control!B31,TRUE)</f>
        <v>RD</v>
      </c>
      <c r="B32" s="17" t="s">
        <v>75</v>
      </c>
      <c r="C32" s="17"/>
      <c r="D32" s="20">
        <f>Control!$A31</f>
        <v>46035</v>
      </c>
      <c r="E32" s="20">
        <f>IFERROR(IF($G32-$F32&lt;0,Control!$A31+1,Control!$A31),Control!$A31)</f>
        <v>46035</v>
      </c>
      <c r="F32" s="23" t="str">
        <f>VLOOKUP(Control!$A31,Roster1!$B$8:$AF$39,Control!$C31,TRUE)</f>
        <v/>
      </c>
      <c r="G32" s="23" t="str">
        <f>VLOOKUP(Control!$A31,Roster1!$B$8:$AF$39,Control!$D31,TRUE)</f>
        <v/>
      </c>
      <c r="H32" s="17" t="s">
        <v>73</v>
      </c>
      <c r="I32" s="17" t="s">
        <v>74</v>
      </c>
    </row>
    <row r="33" spans="1:9" x14ac:dyDescent="0.7">
      <c r="A33" s="19" t="str">
        <f>VLOOKUP(Control!A32,Roster1!$B$8:$AF$39,Control!B32,TRUE)</f>
        <v>RD</v>
      </c>
      <c r="B33" s="17" t="s">
        <v>75</v>
      </c>
      <c r="C33" s="17"/>
      <c r="D33" s="20">
        <f>Control!$A32</f>
        <v>46036</v>
      </c>
      <c r="E33" s="20">
        <f>IFERROR(IF($G33-$F33&lt;0,Control!$A32+1,Control!$A32),Control!$A32)</f>
        <v>46036</v>
      </c>
      <c r="F33" s="23" t="str">
        <f>VLOOKUP(Control!$A32,Roster1!$B$8:$AF$39,Control!$C32,TRUE)</f>
        <v/>
      </c>
      <c r="G33" s="23" t="str">
        <f>VLOOKUP(Control!$A32,Roster1!$B$8:$AF$39,Control!$D32,TRUE)</f>
        <v/>
      </c>
      <c r="H33" s="17" t="s">
        <v>73</v>
      </c>
      <c r="I33" s="17" t="s">
        <v>74</v>
      </c>
    </row>
    <row r="34" spans="1:9" x14ac:dyDescent="0.7">
      <c r="A34" s="19" t="str">
        <f>VLOOKUP(Control!A33,Roster1!$B$8:$AF$39,Control!B33,TRUE)</f>
        <v>CU  902</v>
      </c>
      <c r="B34" s="17" t="s">
        <v>75</v>
      </c>
      <c r="C34" s="17"/>
      <c r="D34" s="20">
        <f>Control!$A33</f>
        <v>46037</v>
      </c>
      <c r="E34" s="20">
        <f>IFERROR(IF($G34-$F34&lt;0,Control!$A33+1,Control!$A33),Control!$A33)</f>
        <v>46037</v>
      </c>
      <c r="F34" s="23">
        <f>VLOOKUP(Control!$A33,Roster1!$B$8:$AF$39,Control!$C33,TRUE)</f>
        <v>0.24374999999999999</v>
      </c>
      <c r="G34" s="23">
        <f>VLOOKUP(Control!$A33,Roster1!$B$8:$AF$39,Control!$D33,TRUE)</f>
        <v>0.58263888888888893</v>
      </c>
      <c r="H34" s="17" t="s">
        <v>73</v>
      </c>
      <c r="I34" s="17" t="s">
        <v>74</v>
      </c>
    </row>
    <row r="35" spans="1:9" x14ac:dyDescent="0.7">
      <c r="A35" s="19" t="str">
        <f>VLOOKUP(Control!A34,Roster1!$B$8:$AF$39,Control!B34,TRUE)</f>
        <v>SP</v>
      </c>
      <c r="B35" s="17" t="s">
        <v>75</v>
      </c>
      <c r="C35" s="17"/>
      <c r="D35" s="20">
        <f>Control!$A34</f>
        <v>46038</v>
      </c>
      <c r="E35" s="20">
        <f>IFERROR(IF($G35-$F35&lt;0,Control!$A34+1,Control!$A34),Control!$A34)</f>
        <v>46038</v>
      </c>
      <c r="F35" s="23">
        <f>VLOOKUP(Control!$A34,Roster1!$B$8:$AF$39,Control!$C34,TRUE)</f>
        <v>0.26944444444444443</v>
      </c>
      <c r="G35" s="23">
        <f>VLOOKUP(Control!$A34,Roster1!$B$8:$AF$39,Control!$D34,TRUE)</f>
        <v>0.68611111111111101</v>
      </c>
      <c r="H35" s="17" t="s">
        <v>73</v>
      </c>
      <c r="I35" s="17" t="s">
        <v>74</v>
      </c>
    </row>
    <row r="36" spans="1:9" x14ac:dyDescent="0.7">
      <c r="A36" s="19" t="str">
        <f>VLOOKUP(Control!A35,Roster1!$B$8:$AF$39,Control!B35,TRUE)</f>
        <v>SP</v>
      </c>
      <c r="B36" s="17" t="s">
        <v>75</v>
      </c>
      <c r="C36" s="17"/>
      <c r="D36" s="20">
        <f>Control!$A35</f>
        <v>46039</v>
      </c>
      <c r="E36" s="20">
        <f>IFERROR(IF($G36-$F36&lt;0,Control!$A35+1,Control!$A35),Control!$A35)</f>
        <v>46039</v>
      </c>
      <c r="F36" s="23">
        <f>VLOOKUP(Control!$A35,Roster1!$B$8:$AF$39,Control!$C35,TRUE)</f>
        <v>0.34027777777777779</v>
      </c>
      <c r="G36" s="23">
        <f>VLOOKUP(Control!$A35,Roster1!$B$8:$AF$39,Control!$D35,TRUE)</f>
        <v>0.75694444444444442</v>
      </c>
      <c r="H36" s="17" t="s">
        <v>73</v>
      </c>
      <c r="I36" s="17" t="s">
        <v>74</v>
      </c>
    </row>
    <row r="37" spans="1:9" x14ac:dyDescent="0.7">
      <c r="A37" s="19" t="str">
        <f>VLOOKUP(Control!A36,Roster1!$B$8:$AF$39,Control!B36,TRUE)</f>
        <v>CU  2903</v>
      </c>
      <c r="B37" s="17" t="s">
        <v>75</v>
      </c>
      <c r="C37" s="17"/>
      <c r="D37" s="20">
        <f>Control!$A36</f>
        <v>46040</v>
      </c>
      <c r="E37" s="20">
        <f>IFERROR(IF($G37-$F37&lt;0,Control!$A36+1,Control!$A36),Control!$A36)</f>
        <v>46040</v>
      </c>
      <c r="F37" s="23">
        <f>VLOOKUP(Control!$A36,Roster1!$B$8:$AF$39,Control!$C36,TRUE)</f>
        <v>0.37152777777777779</v>
      </c>
      <c r="G37" s="23">
        <f>VLOOKUP(Control!$A36,Roster1!$B$8:$AF$39,Control!$D36,TRUE)</f>
        <v>0.66666666666666663</v>
      </c>
      <c r="H37" s="17" t="s">
        <v>73</v>
      </c>
      <c r="I37" s="17" t="s">
        <v>74</v>
      </c>
    </row>
    <row r="38" spans="1:9" x14ac:dyDescent="0.7">
      <c r="A38" s="19" t="str">
        <f>VLOOKUP(Control!A37,Roster1!$B$8:$AF$39,Control!B37,TRUE)</f>
        <v>SP</v>
      </c>
      <c r="B38" s="17" t="s">
        <v>75</v>
      </c>
      <c r="C38" s="17"/>
      <c r="D38" s="20">
        <f>Control!$A37</f>
        <v>46041</v>
      </c>
      <c r="E38" s="20">
        <f>IFERROR(IF($G38-$F38&lt;0,Control!$A37+1,Control!$A37),Control!$A37)</f>
        <v>46041</v>
      </c>
      <c r="F38" s="23">
        <f>VLOOKUP(Control!$A37,Roster1!$B$8:$AF$39,Control!$C37,TRUE)</f>
        <v>0.18611111111111112</v>
      </c>
      <c r="G38" s="23">
        <f>VLOOKUP(Control!$A37,Roster1!$B$8:$AF$39,Control!$D37,TRUE)</f>
        <v>0.56111111111111112</v>
      </c>
      <c r="H38" s="17" t="s">
        <v>73</v>
      </c>
      <c r="I38" s="17" t="s">
        <v>74</v>
      </c>
    </row>
    <row r="39" spans="1:9" x14ac:dyDescent="0.7">
      <c r="A39" s="19" t="str">
        <f>VLOOKUP(Control!A38,Roster1!$B$8:$AF$39,Control!B38,TRUE)</f>
        <v>RD</v>
      </c>
      <c r="B39" s="17" t="s">
        <v>75</v>
      </c>
      <c r="C39" s="17"/>
      <c r="D39" s="20">
        <f>Control!$A38</f>
        <v>46042</v>
      </c>
      <c r="E39" s="20">
        <f>IFERROR(IF($G39-$F39&lt;0,Control!$A38+1,Control!$A38),Control!$A38)</f>
        <v>46042</v>
      </c>
      <c r="F39" s="23" t="str">
        <f>VLOOKUP(Control!$A38,Roster1!$B$8:$AF$39,Control!$C38,TRUE)</f>
        <v/>
      </c>
      <c r="G39" s="23" t="str">
        <f>VLOOKUP(Control!$A38,Roster1!$B$8:$AF$39,Control!$D38,TRUE)</f>
        <v/>
      </c>
      <c r="H39" s="17" t="s">
        <v>73</v>
      </c>
      <c r="I39" s="17" t="s">
        <v>74</v>
      </c>
    </row>
    <row r="40" spans="1:9" x14ac:dyDescent="0.7">
      <c r="A40" s="19" t="str">
        <f>VLOOKUP(Control!A39,Roster1!$B$8:$AF$39,Control!B39,TRUE)</f>
        <v>RD</v>
      </c>
      <c r="B40" s="17" t="s">
        <v>75</v>
      </c>
      <c r="C40" s="17"/>
      <c r="D40" s="20">
        <f>Control!$A39</f>
        <v>46043</v>
      </c>
      <c r="E40" s="20">
        <f>IFERROR(IF($G40-$F40&lt;0,Control!$A39+1,Control!$A39),Control!$A39)</f>
        <v>46043</v>
      </c>
      <c r="F40" s="23" t="str">
        <f>VLOOKUP(Control!$A39,Roster1!$B$8:$AF$39,Control!$C39,TRUE)</f>
        <v/>
      </c>
      <c r="G40" s="23" t="str">
        <f>VLOOKUP(Control!$A39,Roster1!$B$8:$AF$39,Control!$D39,TRUE)</f>
        <v/>
      </c>
      <c r="H40" s="17" t="s">
        <v>73</v>
      </c>
      <c r="I40" s="17" t="s">
        <v>74</v>
      </c>
    </row>
    <row r="41" spans="1:9" x14ac:dyDescent="0.7">
      <c r="A41" s="19" t="str">
        <f>VLOOKUP(Control!A40,Roster1!$B$8:$AF$39,Control!B40,TRUE)</f>
        <v>RD</v>
      </c>
      <c r="B41" s="17" t="s">
        <v>75</v>
      </c>
      <c r="C41" s="17"/>
      <c r="D41" s="20">
        <f>Control!$A40</f>
        <v>46044</v>
      </c>
      <c r="E41" s="20">
        <f>IFERROR(IF($G41-$F41&lt;0,Control!$A40+1,Control!$A40),Control!$A40)</f>
        <v>46044</v>
      </c>
      <c r="F41" s="23" t="str">
        <f>VLOOKUP(Control!$A40,Roster1!$B$8:$AF$39,Control!$C40,TRUE)</f>
        <v/>
      </c>
      <c r="G41" s="23" t="str">
        <f>VLOOKUP(Control!$A40,Roster1!$B$8:$AF$39,Control!$D40,TRUE)</f>
        <v/>
      </c>
      <c r="H41" s="17" t="s">
        <v>73</v>
      </c>
      <c r="I41" s="17" t="s">
        <v>74</v>
      </c>
    </row>
    <row r="42" spans="1:9" x14ac:dyDescent="0.7">
      <c r="A42" s="19" t="str">
        <f>VLOOKUP(Control!A41,Roster1!$B$8:$AF$39,Control!B41,TRUE)</f>
        <v>SP</v>
      </c>
      <c r="B42" s="17" t="s">
        <v>75</v>
      </c>
      <c r="C42" s="17"/>
      <c r="D42" s="20">
        <f>Control!$A41</f>
        <v>46045</v>
      </c>
      <c r="E42" s="20">
        <f>IFERROR(IF($G42-$F42&lt;0,Control!$A41+1,Control!$A41),Control!$A41)</f>
        <v>46045</v>
      </c>
      <c r="F42" s="23">
        <f>VLOOKUP(Control!$A41,Roster1!$B$8:$AF$39,Control!$C41,TRUE)</f>
        <v>0.54097222222222219</v>
      </c>
      <c r="G42" s="23">
        <f>VLOOKUP(Control!$A41,Roster1!$B$8:$AF$39,Control!$D41,TRUE)</f>
        <v>0.95763888888888893</v>
      </c>
      <c r="H42" s="17" t="s">
        <v>73</v>
      </c>
      <c r="I42" s="17" t="s">
        <v>74</v>
      </c>
    </row>
    <row r="43" spans="1:9" x14ac:dyDescent="0.7">
      <c r="A43" s="19" t="str">
        <f>VLOOKUP(Control!A42,Roster1!$B$8:$AF$39,Control!B42,TRUE)</f>
        <v>SP</v>
      </c>
      <c r="B43" s="17" t="s">
        <v>75</v>
      </c>
      <c r="C43" s="17"/>
      <c r="D43" s="20">
        <f>Control!$A42</f>
        <v>46046</v>
      </c>
      <c r="E43" s="20">
        <f>IFERROR(IF($G43-$F43&lt;0,Control!$A42+1,Control!$A42),Control!$A42)</f>
        <v>46046</v>
      </c>
      <c r="F43" s="23">
        <f>VLOOKUP(Control!$A42,Roster1!$B$8:$AF$39,Control!$C42,TRUE)</f>
        <v>0.54097222222222219</v>
      </c>
      <c r="G43" s="23">
        <f>VLOOKUP(Control!$A42,Roster1!$B$8:$AF$39,Control!$D42,TRUE)</f>
        <v>0.95763888888888893</v>
      </c>
      <c r="H43" s="17" t="s">
        <v>73</v>
      </c>
      <c r="I43" s="17" t="s">
        <v>74</v>
      </c>
    </row>
    <row r="44" spans="1:9" x14ac:dyDescent="0.7">
      <c r="A44" s="19" t="str">
        <f>VLOOKUP(Control!A43,Roster1!$B$8:$AF$39,Control!B43,TRUE)</f>
        <v>CU  2906</v>
      </c>
      <c r="B44" s="17" t="s">
        <v>75</v>
      </c>
      <c r="C44" s="17"/>
      <c r="D44" s="20">
        <f>Control!$A43</f>
        <v>46047</v>
      </c>
      <c r="E44" s="20">
        <f>IFERROR(IF($G44-$F44&lt;0,Control!$A43+1,Control!$A43),Control!$A43)</f>
        <v>46048</v>
      </c>
      <c r="F44" s="23">
        <f>VLOOKUP(Control!$A43,Roster1!$B$8:$AF$39,Control!$C43,TRUE)</f>
        <v>0.625</v>
      </c>
      <c r="G44" s="23">
        <f>VLOOKUP(Control!$A43,Roster1!$B$8:$AF$39,Control!$D43,TRUE)</f>
        <v>6.9444444444444447E-4</v>
      </c>
      <c r="H44" s="17" t="s">
        <v>73</v>
      </c>
      <c r="I44" s="17" t="s">
        <v>74</v>
      </c>
    </row>
    <row r="45" spans="1:9" x14ac:dyDescent="0.7">
      <c r="A45" s="19" t="str">
        <f>VLOOKUP(Control!A44,Roster1!$B$8:$AF$39,Control!B44,TRUE)</f>
        <v>CU  905</v>
      </c>
      <c r="B45" s="17" t="s">
        <v>75</v>
      </c>
      <c r="C45" s="17"/>
      <c r="D45" s="20">
        <f>Control!$A44</f>
        <v>46048</v>
      </c>
      <c r="E45" s="20">
        <f>IFERROR(IF($G45-$F45&lt;0,Control!$A44+1,Control!$A44),Control!$A44)</f>
        <v>46048</v>
      </c>
      <c r="F45" s="23">
        <f>VLOOKUP(Control!$A44,Roster1!$B$8:$AF$39,Control!$C44,TRUE)</f>
        <v>0.58333333333333337</v>
      </c>
      <c r="G45" s="23">
        <f>VLOOKUP(Control!$A44,Roster1!$B$8:$AF$39,Control!$D44,TRUE)</f>
        <v>0.98124999999999996</v>
      </c>
      <c r="H45" s="17" t="s">
        <v>73</v>
      </c>
      <c r="I45" s="17" t="s">
        <v>74</v>
      </c>
    </row>
    <row r="46" spans="1:9" x14ac:dyDescent="0.7">
      <c r="A46" s="19" t="str">
        <f>VLOOKUP(Control!A45,Roster1!$B$8:$AF$39,Control!B45,TRUE)</f>
        <v>CU  907</v>
      </c>
      <c r="B46" s="17" t="s">
        <v>75</v>
      </c>
      <c r="C46" s="17"/>
      <c r="D46" s="20">
        <f>Control!$A45</f>
        <v>46049</v>
      </c>
      <c r="E46" s="20">
        <f>IFERROR(IF($G46-$F46&lt;0,Control!$A45+1,Control!$A45),Control!$A45)</f>
        <v>46049</v>
      </c>
      <c r="F46" s="23">
        <f>VLOOKUP(Control!$A45,Roster1!$B$8:$AF$39,Control!$C45,TRUE)</f>
        <v>0.5</v>
      </c>
      <c r="G46" s="23">
        <f>VLOOKUP(Control!$A45,Roster1!$B$8:$AF$39,Control!$D45,TRUE)</f>
        <v>0.70833333333333337</v>
      </c>
      <c r="H46" s="17" t="s">
        <v>73</v>
      </c>
      <c r="I46" s="17" t="s">
        <v>74</v>
      </c>
    </row>
    <row r="47" spans="1:9" x14ac:dyDescent="0.7">
      <c r="A47" s="19" t="str">
        <f>VLOOKUP(Control!A46,Roster1!$B$8:$AF$39,Control!B46,TRUE)</f>
        <v>RD</v>
      </c>
      <c r="B47" s="17" t="s">
        <v>75</v>
      </c>
      <c r="C47" s="17"/>
      <c r="D47" s="20">
        <f>Control!$A46</f>
        <v>46050</v>
      </c>
      <c r="E47" s="20">
        <f>IFERROR(IF($G47-$F47&lt;0,Control!$A46+1,Control!$A46),Control!$A46)</f>
        <v>46050</v>
      </c>
      <c r="F47" s="23" t="str">
        <f>VLOOKUP(Control!$A46,Roster1!$B$8:$AF$39,Control!$C46,TRUE)</f>
        <v/>
      </c>
      <c r="G47" s="23" t="str">
        <f>VLOOKUP(Control!$A46,Roster1!$B$8:$AF$39,Control!$D46,TRUE)</f>
        <v/>
      </c>
      <c r="H47" s="17" t="s">
        <v>73</v>
      </c>
      <c r="I47" s="17" t="s">
        <v>74</v>
      </c>
    </row>
    <row r="48" spans="1:9" x14ac:dyDescent="0.7">
      <c r="A48" s="19" t="str">
        <f>VLOOKUP(Control!A47,Roster1!$B$8:$AF$39,Control!B47,TRUE)</f>
        <v>RD</v>
      </c>
      <c r="B48" s="17" t="s">
        <v>75</v>
      </c>
      <c r="C48" s="17"/>
      <c r="D48" s="20">
        <f>Control!$A47</f>
        <v>46051</v>
      </c>
      <c r="E48" s="20">
        <f>IFERROR(IF($G48-$F48&lt;0,Control!$A47+1,Control!$A47),Control!$A47)</f>
        <v>46051</v>
      </c>
      <c r="F48" s="23" t="str">
        <f>VLOOKUP(Control!$A47,Roster1!$B$8:$AF$39,Control!$C47,TRUE)</f>
        <v/>
      </c>
      <c r="G48" s="23" t="str">
        <f>VLOOKUP(Control!$A47,Roster1!$B$8:$AF$39,Control!$D47,TRUE)</f>
        <v/>
      </c>
      <c r="H48" s="17" t="s">
        <v>73</v>
      </c>
      <c r="I48" s="17" t="s">
        <v>74</v>
      </c>
    </row>
    <row r="49" spans="1:9" x14ac:dyDescent="0.7">
      <c r="A49" s="19" t="str">
        <f>VLOOKUP(Control!A48,Roster1!$B$8:$AF$39,Control!B48,TRUE)</f>
        <v>RD</v>
      </c>
      <c r="B49" s="17" t="s">
        <v>75</v>
      </c>
      <c r="C49" s="17"/>
      <c r="D49" s="20">
        <f>Control!$A48</f>
        <v>46052</v>
      </c>
      <c r="E49" s="20">
        <f>IFERROR(IF($G49-$F49&lt;0,Control!$A48+1,Control!$A48),Control!$A48)</f>
        <v>46052</v>
      </c>
      <c r="F49" s="23" t="str">
        <f>VLOOKUP(Control!$A48,Roster1!$B$8:$AF$39,Control!$C48,TRUE)</f>
        <v/>
      </c>
      <c r="G49" s="23" t="str">
        <f>VLOOKUP(Control!$A48,Roster1!$B$8:$AF$39,Control!$D48,TRUE)</f>
        <v/>
      </c>
      <c r="H49" s="17" t="s">
        <v>73</v>
      </c>
      <c r="I49" s="17" t="s">
        <v>74</v>
      </c>
    </row>
    <row r="50" spans="1:9" x14ac:dyDescent="0.7">
      <c r="A50" s="19" t="str">
        <f>VLOOKUP(Control!A49,Roster1!$B$8:$AF$39,Control!B49,TRUE)</f>
        <v>CU  1902</v>
      </c>
      <c r="B50" s="17" t="s">
        <v>75</v>
      </c>
      <c r="C50" s="17"/>
      <c r="D50" s="20">
        <f>Control!$A49</f>
        <v>46053</v>
      </c>
      <c r="E50" s="20">
        <f>IFERROR(IF($G50-$F50&lt;0,Control!$A49+1,Control!$A49),Control!$A49)</f>
        <v>46053</v>
      </c>
      <c r="F50" s="23">
        <f>VLOOKUP(Control!$A49,Roster1!$B$8:$AF$39,Control!$C49,TRUE)</f>
        <v>0.24374999999999999</v>
      </c>
      <c r="G50" s="23">
        <f>VLOOKUP(Control!$A49,Roster1!$B$8:$AF$39,Control!$D49,TRUE)</f>
        <v>0.58263888888888893</v>
      </c>
      <c r="H50" s="17" t="s">
        <v>73</v>
      </c>
      <c r="I50" s="17" t="s">
        <v>74</v>
      </c>
    </row>
    <row r="51" spans="1:9" x14ac:dyDescent="0.7">
      <c r="A51" s="19" t="str">
        <f>VLOOKUP(Control!A50,Roster1!$B$8:$AF$39,Control!B50,TRUE)</f>
        <v>SP</v>
      </c>
      <c r="B51" s="17" t="s">
        <v>75</v>
      </c>
      <c r="C51" s="17"/>
      <c r="D51" s="20">
        <f>Control!$A50</f>
        <v>46054</v>
      </c>
      <c r="E51" s="20">
        <f>IFERROR(IF($G51-$F51&lt;0,Control!$A50+1,Control!$A50),Control!$A50)</f>
        <v>46054</v>
      </c>
      <c r="F51" s="23">
        <f>VLOOKUP(Control!$A50,Roster1!$B$8:$AF$39,Control!$C50,TRUE)</f>
        <v>0.35416666666666669</v>
      </c>
      <c r="G51" s="23">
        <f>VLOOKUP(Control!$A50,Roster1!$B$8:$AF$39,Control!$D50,TRUE)</f>
        <v>0.77083333333333337</v>
      </c>
      <c r="H51" s="17" t="s">
        <v>73</v>
      </c>
      <c r="I51" s="17" t="s">
        <v>74</v>
      </c>
    </row>
    <row r="52" spans="1:9" x14ac:dyDescent="0.7">
      <c r="A52" s="19" t="str">
        <f>VLOOKUP(Control!A51,Roster1!$B$8:$AF$39,Control!B51,TRUE)</f>
        <v>SP</v>
      </c>
      <c r="B52" s="17" t="s">
        <v>75</v>
      </c>
      <c r="C52" s="17"/>
      <c r="D52" s="20">
        <f>Control!$A51</f>
        <v>46055</v>
      </c>
      <c r="E52" s="20">
        <f>IFERROR(IF($G52-$F52&lt;0,Control!$A51+1,Control!$A51),Control!$A51)</f>
        <v>46055</v>
      </c>
      <c r="F52" s="23">
        <f>VLOOKUP(Control!$A51,Roster1!$B$8:$AF$39,Control!$C51,TRUE)</f>
        <v>0.33958333333333335</v>
      </c>
      <c r="G52" s="23">
        <f>VLOOKUP(Control!$A51,Roster1!$B$8:$AF$39,Control!$D51,TRUE)</f>
        <v>0.75624999999999998</v>
      </c>
      <c r="H52" s="17" t="s">
        <v>73</v>
      </c>
      <c r="I52" s="17" t="s">
        <v>74</v>
      </c>
    </row>
    <row r="53" spans="1:9" x14ac:dyDescent="0.7">
      <c r="A53" s="19" t="str">
        <f>VLOOKUP(Control!A52,Roster1!$B$8:$AF$39,Control!B52,TRUE)</f>
        <v>SP</v>
      </c>
      <c r="B53" s="17" t="s">
        <v>75</v>
      </c>
      <c r="C53" s="17"/>
      <c r="D53" s="20">
        <f>Control!$A52</f>
        <v>46056</v>
      </c>
      <c r="E53" s="20">
        <f>IFERROR(IF($G53-$F53&lt;0,Control!$A52+1,Control!$A52),Control!$A52)</f>
        <v>46056</v>
      </c>
      <c r="F53" s="23">
        <f>VLOOKUP(Control!$A52,Roster1!$B$8:$AF$39,Control!$C52,TRUE)</f>
        <v>0.3666666666666667</v>
      </c>
      <c r="G53" s="23">
        <f>VLOOKUP(Control!$A52,Roster1!$B$8:$AF$39,Control!$D52,TRUE)</f>
        <v>0.78333333333333333</v>
      </c>
      <c r="H53" s="17" t="s">
        <v>73</v>
      </c>
      <c r="I53" s="17" t="s">
        <v>74</v>
      </c>
    </row>
    <row r="54" spans="1:9" x14ac:dyDescent="0.7">
      <c r="A54" s="19" t="str">
        <f>VLOOKUP(Control!A53,Roster1!$B$8:$AF$39,Control!B53,TRUE)</f>
        <v>RD</v>
      </c>
      <c r="B54" s="17" t="s">
        <v>75</v>
      </c>
      <c r="C54" s="17"/>
      <c r="D54" s="20">
        <f>Control!$A53</f>
        <v>46057</v>
      </c>
      <c r="E54" s="20">
        <f>IFERROR(IF($G54-$F54&lt;0,Control!$A53+1,Control!$A53),Control!$A53)</f>
        <v>46057</v>
      </c>
      <c r="F54" s="23" t="str">
        <f>VLOOKUP(Control!$A53,Roster1!$B$8:$AF$39,Control!$C53,TRUE)</f>
        <v/>
      </c>
      <c r="G54" s="23" t="str">
        <f>VLOOKUP(Control!$A53,Roster1!$B$8:$AF$39,Control!$D53,TRUE)</f>
        <v/>
      </c>
      <c r="H54" s="17" t="s">
        <v>73</v>
      </c>
      <c r="I54" s="17" t="s">
        <v>74</v>
      </c>
    </row>
    <row r="55" spans="1:9" x14ac:dyDescent="0.7">
      <c r="A55" s="19" t="str">
        <f>VLOOKUP(Control!A54,Roster1!$B$8:$AF$39,Control!B54,TRUE)</f>
        <v>RD</v>
      </c>
      <c r="B55" s="17" t="s">
        <v>75</v>
      </c>
      <c r="C55" s="17"/>
      <c r="D55" s="20">
        <f>Control!$A54</f>
        <v>46058</v>
      </c>
      <c r="E55" s="20">
        <f>IFERROR(IF($G55-$F55&lt;0,Control!$A54+1,Control!$A54),Control!$A54)</f>
        <v>46058</v>
      </c>
      <c r="F55" s="23" t="str">
        <f>VLOOKUP(Control!$A54,Roster1!$B$8:$AF$39,Control!$C54,TRUE)</f>
        <v/>
      </c>
      <c r="G55" s="23" t="str">
        <f>VLOOKUP(Control!$A54,Roster1!$B$8:$AF$39,Control!$D54,TRUE)</f>
        <v/>
      </c>
      <c r="H55" s="17" t="s">
        <v>73</v>
      </c>
      <c r="I55" s="17" t="s">
        <v>74</v>
      </c>
    </row>
    <row r="56" spans="1:9" x14ac:dyDescent="0.7">
      <c r="A56" s="19" t="str">
        <f>VLOOKUP(Control!A55,Roster1!$B$8:$AF$39,Control!B55,TRUE)</f>
        <v>RD</v>
      </c>
      <c r="B56" s="17" t="s">
        <v>75</v>
      </c>
      <c r="C56" s="17"/>
      <c r="D56" s="20">
        <f>Control!$A55</f>
        <v>46059</v>
      </c>
      <c r="E56" s="20">
        <f>IFERROR(IF($G56-$F56&lt;0,Control!$A55+1,Control!$A55),Control!$A55)</f>
        <v>46059</v>
      </c>
      <c r="F56" s="23" t="str">
        <f>VLOOKUP(Control!$A55,Roster1!$B$8:$AF$39,Control!$C55,TRUE)</f>
        <v/>
      </c>
      <c r="G56" s="23" t="str">
        <f>VLOOKUP(Control!$A55,Roster1!$B$8:$AF$39,Control!$D55,TRUE)</f>
        <v/>
      </c>
      <c r="H56" s="17" t="s">
        <v>73</v>
      </c>
      <c r="I56" s="17" t="s">
        <v>74</v>
      </c>
    </row>
    <row r="57" spans="1:9" x14ac:dyDescent="0.7">
      <c r="A57" s="19" t="str">
        <f>VLOOKUP(Control!A56,Roster1!$B$8:$AF$39,Control!B56,TRUE)</f>
        <v>RD</v>
      </c>
      <c r="B57" s="17" t="s">
        <v>75</v>
      </c>
      <c r="C57" s="17"/>
      <c r="D57" s="20">
        <f>Control!$A56</f>
        <v>46060</v>
      </c>
      <c r="E57" s="20">
        <f>IFERROR(IF($G57-$F57&lt;0,Control!$A56+1,Control!$A56),Control!$A56)</f>
        <v>46060</v>
      </c>
      <c r="F57" s="23" t="str">
        <f>VLOOKUP(Control!$A56,Roster1!$B$8:$AF$39,Control!$C56,TRUE)</f>
        <v/>
      </c>
      <c r="G57" s="23" t="str">
        <f>VLOOKUP(Control!$A56,Roster1!$B$8:$AF$39,Control!$D56,TRUE)</f>
        <v/>
      </c>
      <c r="H57" s="17" t="s">
        <v>73</v>
      </c>
      <c r="I57" s="17" t="s">
        <v>74</v>
      </c>
    </row>
    <row r="58" spans="1:9" x14ac:dyDescent="0.7">
      <c r="A58" s="19" t="str">
        <f>VLOOKUP(Control!A57,Roster1!$B$8:$AF$39,Control!B57,TRUE)</f>
        <v>RD</v>
      </c>
      <c r="B58" s="17" t="s">
        <v>75</v>
      </c>
      <c r="C58" s="17"/>
      <c r="D58" s="20">
        <f>Control!$A57</f>
        <v>46061</v>
      </c>
      <c r="E58" s="20">
        <f>IFERROR(IF($G58-$F58&lt;0,Control!$A57+1,Control!$A57),Control!$A57)</f>
        <v>46061</v>
      </c>
      <c r="F58" s="23" t="str">
        <f>VLOOKUP(Control!$A57,Roster1!$B$8:$AF$39,Control!$C57,TRUE)</f>
        <v/>
      </c>
      <c r="G58" s="23" t="str">
        <f>VLOOKUP(Control!$A57,Roster1!$B$8:$AF$39,Control!$D57,TRUE)</f>
        <v/>
      </c>
      <c r="H58" s="17" t="s">
        <v>73</v>
      </c>
      <c r="I58" s="17" t="s">
        <v>74</v>
      </c>
    </row>
    <row r="59" spans="1:9" x14ac:dyDescent="0.7">
      <c r="A59" s="19" t="str">
        <f>VLOOKUP(Control!A58,Roster1!$B$8:$AF$39,Control!B58,TRUE)</f>
        <v>RD</v>
      </c>
      <c r="B59" s="17" t="s">
        <v>75</v>
      </c>
      <c r="C59" s="17"/>
      <c r="D59" s="20">
        <f>Control!$A58</f>
        <v>46062</v>
      </c>
      <c r="E59" s="20">
        <f>IFERROR(IF($G59-$F59&lt;0,Control!$A58+1,Control!$A58),Control!$A58)</f>
        <v>46062</v>
      </c>
      <c r="F59" s="23" t="str">
        <f>VLOOKUP(Control!$A58,Roster1!$B$8:$AF$39,Control!$C58,TRUE)</f>
        <v/>
      </c>
      <c r="G59" s="23" t="str">
        <f>VLOOKUP(Control!$A58,Roster1!$B$8:$AF$39,Control!$D58,TRUE)</f>
        <v/>
      </c>
      <c r="H59" s="17" t="s">
        <v>73</v>
      </c>
      <c r="I59" s="17" t="s">
        <v>74</v>
      </c>
    </row>
    <row r="60" spans="1:9" x14ac:dyDescent="0.7">
      <c r="A60" s="19" t="str">
        <f>VLOOKUP(Control!A59,Roster1!$B$8:$AF$39,Control!B59,TRUE)</f>
        <v>CU  906</v>
      </c>
      <c r="B60" s="17" t="s">
        <v>75</v>
      </c>
      <c r="C60" s="17"/>
      <c r="D60" s="20">
        <f>Control!$A59</f>
        <v>46063</v>
      </c>
      <c r="E60" s="20">
        <f>IFERROR(IF($G60-$F60&lt;0,Control!$A59+1,Control!$A59),Control!$A59)</f>
        <v>46064</v>
      </c>
      <c r="F60" s="23">
        <f>VLOOKUP(Control!$A59,Roster1!$B$8:$AF$39,Control!$C59,TRUE)</f>
        <v>0.66805555555555551</v>
      </c>
      <c r="G60" s="23">
        <f>VLOOKUP(Control!$A59,Roster1!$B$8:$AF$39,Control!$D59,TRUE)</f>
        <v>1.0416666666666666E-2</v>
      </c>
      <c r="H60" s="17" t="s">
        <v>73</v>
      </c>
      <c r="I60" s="17" t="s">
        <v>74</v>
      </c>
    </row>
    <row r="61" spans="1:9" x14ac:dyDescent="0.7">
      <c r="A61" s="19" t="str">
        <f>VLOOKUP(Control!A60,Roster1!$B$8:$AF$39,Control!B60,TRUE)</f>
        <v>RR</v>
      </c>
      <c r="B61" s="17" t="s">
        <v>75</v>
      </c>
      <c r="C61" s="17"/>
      <c r="D61" s="20">
        <f>Control!$A60</f>
        <v>46064</v>
      </c>
      <c r="E61" s="20">
        <f>IFERROR(IF($G61-$F61&lt;0,Control!$A60+1,Control!$A60),Control!$A60)</f>
        <v>46064</v>
      </c>
      <c r="F61" s="23">
        <f>VLOOKUP(Control!$A60,Roster1!$B$8:$AF$39,Control!$C60,TRUE)</f>
        <v>0.52083333333333337</v>
      </c>
      <c r="G61" s="23">
        <f>VLOOKUP(Control!$A60,Roster1!$B$8:$AF$39,Control!$D60,TRUE)</f>
        <v>0.89583333333333337</v>
      </c>
      <c r="H61" s="17" t="s">
        <v>73</v>
      </c>
      <c r="I61" s="17" t="s">
        <v>74</v>
      </c>
    </row>
    <row r="62" spans="1:9" x14ac:dyDescent="0.7">
      <c r="A62" s="19" t="str">
        <f>VLOOKUP(Control!A61,Roster1!$B$8:$AF$39,Control!B61,TRUE)</f>
        <v>SP</v>
      </c>
      <c r="B62" s="17" t="s">
        <v>75</v>
      </c>
      <c r="C62" s="17"/>
      <c r="D62" s="20">
        <f>Control!$A61</f>
        <v>46065</v>
      </c>
      <c r="E62" s="20">
        <f>IFERROR(IF($G62-$F62&lt;0,Control!$A61+1,Control!$A61),Control!$A61)</f>
        <v>46066</v>
      </c>
      <c r="F62" s="23">
        <f>VLOOKUP(Control!$A61,Roster1!$B$8:$AF$39,Control!$C61,TRUE)</f>
        <v>0.66527777777777775</v>
      </c>
      <c r="G62" s="23">
        <f>VLOOKUP(Control!$A61,Roster1!$B$8:$AF$39,Control!$D61,TRUE)</f>
        <v>8.1944444444444445E-2</v>
      </c>
      <c r="H62" s="17" t="s">
        <v>73</v>
      </c>
      <c r="I62" s="17" t="s">
        <v>74</v>
      </c>
    </row>
    <row r="63" spans="1:9" x14ac:dyDescent="0.7">
      <c r="A63" s="19" t="str">
        <f>VLOOKUP(Control!A62,Roster1!$B$8:$AF$39,Control!B62,TRUE)</f>
        <v>CU  906</v>
      </c>
      <c r="B63" s="17" t="s">
        <v>75</v>
      </c>
      <c r="C63" s="17"/>
      <c r="D63" s="20">
        <f>Control!$A62</f>
        <v>46066</v>
      </c>
      <c r="E63" s="20">
        <f>IFERROR(IF($G63-$F63&lt;0,Control!$A62+1,Control!$A62),Control!$A62)</f>
        <v>46067</v>
      </c>
      <c r="F63" s="23">
        <f>VLOOKUP(Control!$A62,Roster1!$B$8:$AF$39,Control!$C62,TRUE)</f>
        <v>0.66805555555555551</v>
      </c>
      <c r="G63" s="23">
        <f>VLOOKUP(Control!$A62,Roster1!$B$8:$AF$39,Control!$D62,TRUE)</f>
        <v>1.0416666666666666E-2</v>
      </c>
      <c r="H63" s="17" t="s">
        <v>73</v>
      </c>
      <c r="I63" s="17" t="s">
        <v>74</v>
      </c>
    </row>
    <row r="64" spans="1:9" x14ac:dyDescent="0.7">
      <c r="A64" s="19" t="str">
        <f>VLOOKUP(Control!A63,Roster1!$B$8:$AF$39,Control!B63,TRUE)</f>
        <v>CU  1906</v>
      </c>
      <c r="B64" s="17" t="s">
        <v>75</v>
      </c>
      <c r="C64" s="17"/>
      <c r="D64" s="20">
        <f>Control!$A63</f>
        <v>46067</v>
      </c>
      <c r="E64" s="20">
        <f>IFERROR(IF($G64-$F64&lt;0,Control!$A63+1,Control!$A63),Control!$A63)</f>
        <v>46067</v>
      </c>
      <c r="F64" s="23">
        <f>VLOOKUP(Control!$A63,Roster1!$B$8:$AF$39,Control!$C63,TRUE)</f>
        <v>0.58333333333333337</v>
      </c>
      <c r="G64" s="23">
        <f>VLOOKUP(Control!$A63,Roster1!$B$8:$AF$39,Control!$D63,TRUE)</f>
        <v>0.96666666666666667</v>
      </c>
      <c r="H64" s="17" t="s">
        <v>73</v>
      </c>
      <c r="I64" s="17" t="s">
        <v>74</v>
      </c>
    </row>
    <row r="65" spans="1:9" x14ac:dyDescent="0.7">
      <c r="A65" s="19" t="str">
        <f>VLOOKUP(Control!A64,Roster1!$B$8:$AF$39,Control!B64,TRUE)</f>
        <v>RD</v>
      </c>
      <c r="B65" s="17" t="s">
        <v>75</v>
      </c>
      <c r="C65" s="17"/>
      <c r="D65" s="20">
        <f>Control!$A64</f>
        <v>46068</v>
      </c>
      <c r="E65" s="20">
        <f>IFERROR(IF($G65-$F65&lt;0,Control!$A64+1,Control!$A64),Control!$A64)</f>
        <v>46068</v>
      </c>
      <c r="F65" s="23" t="str">
        <f>VLOOKUP(Control!$A64,Roster1!$B$8:$AF$39,Control!$C64,TRUE)</f>
        <v/>
      </c>
      <c r="G65" s="23" t="str">
        <f>VLOOKUP(Control!$A64,Roster1!$B$8:$AF$39,Control!$D64,TRUE)</f>
        <v/>
      </c>
      <c r="H65" s="17" t="s">
        <v>73</v>
      </c>
      <c r="I65" s="17" t="s">
        <v>74</v>
      </c>
    </row>
    <row r="66" spans="1:9" x14ac:dyDescent="0.7">
      <c r="A66" s="19" t="str">
        <f>VLOOKUP(Control!A65,Roster1!$B$8:$AF$39,Control!B65,TRUE)</f>
        <v>RD</v>
      </c>
      <c r="B66" s="17" t="s">
        <v>75</v>
      </c>
      <c r="C66" s="17"/>
      <c r="D66" s="20">
        <f>Control!$A65</f>
        <v>46069</v>
      </c>
      <c r="E66" s="20">
        <f>IFERROR(IF($G66-$F66&lt;0,Control!$A65+1,Control!$A65),Control!$A65)</f>
        <v>46069</v>
      </c>
      <c r="F66" s="23" t="str">
        <f>VLOOKUP(Control!$A65,Roster1!$B$8:$AF$39,Control!$C65,TRUE)</f>
        <v/>
      </c>
      <c r="G66" s="23" t="str">
        <f>VLOOKUP(Control!$A65,Roster1!$B$8:$AF$39,Control!$D65,TRUE)</f>
        <v/>
      </c>
      <c r="H66" s="17" t="s">
        <v>73</v>
      </c>
      <c r="I66" s="17" t="s">
        <v>74</v>
      </c>
    </row>
    <row r="67" spans="1:9" x14ac:dyDescent="0.7">
      <c r="A67" s="19" t="str">
        <f>VLOOKUP(Control!A66,Roster1!$B$8:$AF$39,Control!B66,TRUE)</f>
        <v>RD</v>
      </c>
      <c r="B67" s="17" t="s">
        <v>75</v>
      </c>
      <c r="C67" s="17"/>
      <c r="D67" s="20">
        <f>Control!$A66</f>
        <v>46070</v>
      </c>
      <c r="E67" s="20">
        <f>IFERROR(IF($G67-$F67&lt;0,Control!$A66+1,Control!$A66),Control!$A66)</f>
        <v>46070</v>
      </c>
      <c r="F67" s="23" t="str">
        <f>VLOOKUP(Control!$A66,Roster1!$B$8:$AF$39,Control!$C66,TRUE)</f>
        <v/>
      </c>
      <c r="G67" s="23" t="str">
        <f>VLOOKUP(Control!$A66,Roster1!$B$8:$AF$39,Control!$D66,TRUE)</f>
        <v/>
      </c>
      <c r="H67" s="17" t="s">
        <v>73</v>
      </c>
      <c r="I67" s="17" t="s">
        <v>74</v>
      </c>
    </row>
    <row r="68" spans="1:9" x14ac:dyDescent="0.7">
      <c r="A68" s="19" t="str">
        <f>VLOOKUP(Control!A67,Roster1!$B$8:$AF$39,Control!B67,TRUE)</f>
        <v>RD</v>
      </c>
      <c r="B68" s="17" t="s">
        <v>75</v>
      </c>
      <c r="C68" s="17"/>
      <c r="D68" s="20">
        <f>Control!$A67</f>
        <v>46071</v>
      </c>
      <c r="E68" s="20">
        <f>IFERROR(IF($G68-$F68&lt;0,Control!$A67+1,Control!$A67),Control!$A67)</f>
        <v>46071</v>
      </c>
      <c r="F68" s="23" t="str">
        <f>VLOOKUP(Control!$A67,Roster1!$B$8:$AF$39,Control!$C67,TRUE)</f>
        <v/>
      </c>
      <c r="G68" s="23" t="str">
        <f>VLOOKUP(Control!$A67,Roster1!$B$8:$AF$39,Control!$D67,TRUE)</f>
        <v/>
      </c>
      <c r="H68" s="17" t="s">
        <v>73</v>
      </c>
      <c r="I68" s="17" t="s">
        <v>74</v>
      </c>
    </row>
    <row r="69" spans="1:9" x14ac:dyDescent="0.7">
      <c r="A69" s="19" t="str">
        <f>VLOOKUP(Control!A68,Roster1!$B$8:$AF$39,Control!B68,TRUE)</f>
        <v>CU  901</v>
      </c>
      <c r="B69" s="17" t="s">
        <v>75</v>
      </c>
      <c r="C69" s="17"/>
      <c r="D69" s="20">
        <f>Control!$A68</f>
        <v>46072</v>
      </c>
      <c r="E69" s="20">
        <f>IFERROR(IF($G69-$F69&lt;0,Control!$A68+1,Control!$A68),Control!$A68)</f>
        <v>46072</v>
      </c>
      <c r="F69" s="23">
        <f>VLOOKUP(Control!$A68,Roster1!$B$8:$AF$39,Control!$C68,TRUE)</f>
        <v>0.19027777777777777</v>
      </c>
      <c r="G69" s="23">
        <f>VLOOKUP(Control!$A68,Roster1!$B$8:$AF$39,Control!$D68,TRUE)</f>
        <v>0.54097222222222219</v>
      </c>
      <c r="H69" s="17" t="s">
        <v>73</v>
      </c>
      <c r="I69" s="17" t="s">
        <v>74</v>
      </c>
    </row>
    <row r="70" spans="1:9" x14ac:dyDescent="0.7">
      <c r="A70" s="19" t="str">
        <f>VLOOKUP(Control!A69,Roster1!$B$8:$AF$39,Control!B69,TRUE)</f>
        <v>CU  902</v>
      </c>
      <c r="B70" s="17" t="s">
        <v>75</v>
      </c>
      <c r="C70" s="17"/>
      <c r="D70" s="20">
        <f>Control!$A69</f>
        <v>46073</v>
      </c>
      <c r="E70" s="20">
        <f>IFERROR(IF($G70-$F70&lt;0,Control!$A69+1,Control!$A69),Control!$A69)</f>
        <v>46073</v>
      </c>
      <c r="F70" s="23">
        <f>VLOOKUP(Control!$A69,Roster1!$B$8:$AF$39,Control!$C69,TRUE)</f>
        <v>0.24374999999999999</v>
      </c>
      <c r="G70" s="23">
        <f>VLOOKUP(Control!$A69,Roster1!$B$8:$AF$39,Control!$D69,TRUE)</f>
        <v>0.58263888888888893</v>
      </c>
      <c r="H70" s="17" t="s">
        <v>73</v>
      </c>
      <c r="I70" s="17" t="s">
        <v>74</v>
      </c>
    </row>
    <row r="71" spans="1:9" x14ac:dyDescent="0.7">
      <c r="A71" s="19" t="str">
        <f>VLOOKUP(Control!A70,Roster1!$B$8:$AF$39,Control!B70,TRUE)</f>
        <v>SP</v>
      </c>
      <c r="B71" s="17" t="s">
        <v>75</v>
      </c>
      <c r="C71" s="17"/>
      <c r="D71" s="20">
        <f>Control!$A70</f>
        <v>46074</v>
      </c>
      <c r="E71" s="20">
        <f>IFERROR(IF($G71-$F71&lt;0,Control!$A70+1,Control!$A70),Control!$A70)</f>
        <v>46074</v>
      </c>
      <c r="F71" s="23">
        <f>VLOOKUP(Control!$A70,Roster1!$B$8:$AF$39,Control!$C70,TRUE)</f>
        <v>0.24166666666666667</v>
      </c>
      <c r="G71" s="23">
        <f>VLOOKUP(Control!$A70,Roster1!$B$8:$AF$39,Control!$D70,TRUE)</f>
        <v>0.65833333333333333</v>
      </c>
      <c r="H71" s="17" t="s">
        <v>73</v>
      </c>
      <c r="I71" s="17" t="s">
        <v>74</v>
      </c>
    </row>
    <row r="72" spans="1:9" x14ac:dyDescent="0.7">
      <c r="A72" s="19" t="str">
        <f>VLOOKUP(Control!A71,Roster1!$B$8:$AF$39,Control!B71,TRUE)</f>
        <v>CU  2904</v>
      </c>
      <c r="B72" s="17" t="s">
        <v>75</v>
      </c>
      <c r="C72" s="17"/>
      <c r="D72" s="20">
        <f>Control!$A71</f>
        <v>46075</v>
      </c>
      <c r="E72" s="20">
        <f>IFERROR(IF($G72-$F72&lt;0,Control!$A71+1,Control!$A71),Control!$A71)</f>
        <v>46075</v>
      </c>
      <c r="F72" s="23">
        <f>VLOOKUP(Control!$A71,Roster1!$B$8:$AF$39,Control!$C71,TRUE)</f>
        <v>0.41319444444444442</v>
      </c>
      <c r="G72" s="23">
        <f>VLOOKUP(Control!$A71,Roster1!$B$8:$AF$39,Control!$D71,TRUE)</f>
        <v>0.75138888888888888</v>
      </c>
      <c r="H72" s="17" t="s">
        <v>73</v>
      </c>
      <c r="I72" s="17" t="s">
        <v>74</v>
      </c>
    </row>
    <row r="73" spans="1:9" x14ac:dyDescent="0.7">
      <c r="A73" s="19" t="str">
        <f>VLOOKUP(Control!A72,Roster1!$B$8:$AF$39,Control!B72,TRUE)</f>
        <v>CU  903</v>
      </c>
      <c r="B73" s="17" t="s">
        <v>75</v>
      </c>
      <c r="C73" s="17"/>
      <c r="D73" s="20">
        <f>Control!$A72</f>
        <v>46076</v>
      </c>
      <c r="E73" s="20">
        <f>IFERROR(IF($G73-$F73&lt;0,Control!$A72+1,Control!$A72),Control!$A72)</f>
        <v>46076</v>
      </c>
      <c r="F73" s="23">
        <f>VLOOKUP(Control!$A72,Roster1!$B$8:$AF$39,Control!$C72,TRUE)</f>
        <v>0.28819444444444442</v>
      </c>
      <c r="G73" s="23">
        <f>VLOOKUP(Control!$A72,Roster1!$B$8:$AF$39,Control!$D72,TRUE)</f>
        <v>0.49930555555555556</v>
      </c>
      <c r="H73" s="17" t="s">
        <v>73</v>
      </c>
      <c r="I73" s="17" t="s">
        <v>74</v>
      </c>
    </row>
    <row r="74" spans="1:9" x14ac:dyDescent="0.7">
      <c r="A74" s="19" t="str">
        <f>VLOOKUP(Control!A73,Roster1!$B$8:$AF$39,Control!B73,TRUE)</f>
        <v>RD</v>
      </c>
      <c r="B74" s="17" t="s">
        <v>75</v>
      </c>
      <c r="C74" s="17"/>
      <c r="D74" s="20">
        <f>Control!$A73</f>
        <v>46077</v>
      </c>
      <c r="E74" s="20">
        <f>IFERROR(IF($G74-$F74&lt;0,Control!$A73+1,Control!$A73),Control!$A73)</f>
        <v>46077</v>
      </c>
      <c r="F74" s="23" t="str">
        <f>VLOOKUP(Control!$A73,Roster1!$B$8:$AF$39,Control!$C73,TRUE)</f>
        <v/>
      </c>
      <c r="G74" s="23" t="str">
        <f>VLOOKUP(Control!$A73,Roster1!$B$8:$AF$39,Control!$D73,TRUE)</f>
        <v/>
      </c>
      <c r="H74" s="17" t="s">
        <v>73</v>
      </c>
      <c r="I74" s="17" t="s">
        <v>74</v>
      </c>
    </row>
    <row r="75" spans="1:9" x14ac:dyDescent="0.7">
      <c r="A75" s="19" t="str">
        <f>VLOOKUP(Control!A74,Roster1!$B$8:$AF$39,Control!B74,TRUE)</f>
        <v>RD</v>
      </c>
      <c r="B75" s="17" t="s">
        <v>75</v>
      </c>
      <c r="C75" s="17"/>
      <c r="D75" s="20">
        <f>Control!$A74</f>
        <v>46078</v>
      </c>
      <c r="E75" s="20">
        <f>IFERROR(IF($G75-$F75&lt;0,Control!$A74+1,Control!$A74),Control!$A74)</f>
        <v>46078</v>
      </c>
      <c r="F75" s="23" t="str">
        <f>VLOOKUP(Control!$A74,Roster1!$B$8:$AF$39,Control!$C74,TRUE)</f>
        <v/>
      </c>
      <c r="G75" s="23" t="str">
        <f>VLOOKUP(Control!$A74,Roster1!$B$8:$AF$39,Control!$D74,TRUE)</f>
        <v/>
      </c>
      <c r="H75" s="17" t="s">
        <v>73</v>
      </c>
      <c r="I75" s="17" t="s">
        <v>74</v>
      </c>
    </row>
    <row r="76" spans="1:9" x14ac:dyDescent="0.7">
      <c r="A76" s="19" t="str">
        <f>VLOOKUP(Control!A75,Roster1!$B$8:$AF$39,Control!B75,TRUE)</f>
        <v>RD</v>
      </c>
      <c r="B76" s="17" t="s">
        <v>75</v>
      </c>
      <c r="C76" s="17"/>
      <c r="D76" s="20">
        <f>Control!$A75</f>
        <v>46079</v>
      </c>
      <c r="E76" s="20">
        <f>IFERROR(IF($G76-$F76&lt;0,Control!$A75+1,Control!$A75),Control!$A75)</f>
        <v>46079</v>
      </c>
      <c r="F76" s="23" t="str">
        <f>VLOOKUP(Control!$A75,Roster1!$B$8:$AF$39,Control!$C75,TRUE)</f>
        <v/>
      </c>
      <c r="G76" s="23" t="str">
        <f>VLOOKUP(Control!$A75,Roster1!$B$8:$AF$39,Control!$D75,TRUE)</f>
        <v/>
      </c>
      <c r="H76" s="17" t="s">
        <v>73</v>
      </c>
      <c r="I76" s="17" t="s">
        <v>74</v>
      </c>
    </row>
    <row r="77" spans="1:9" x14ac:dyDescent="0.7">
      <c r="A77" s="19" t="str">
        <f>VLOOKUP(Control!A76,Roster1!$B$8:$AF$39,Control!B76,TRUE)</f>
        <v>SP</v>
      </c>
      <c r="B77" s="17" t="s">
        <v>75</v>
      </c>
      <c r="C77" s="17"/>
      <c r="D77" s="20">
        <f>Control!$A76</f>
        <v>46080</v>
      </c>
      <c r="E77" s="20">
        <f>IFERROR(IF($G77-$F77&lt;0,Control!$A76+1,Control!$A76),Control!$A76)</f>
        <v>46081</v>
      </c>
      <c r="F77" s="23">
        <f>VLOOKUP(Control!$A76,Roster1!$B$8:$AF$39,Control!$C76,TRUE)</f>
        <v>0.6645833333333333</v>
      </c>
      <c r="G77" s="23">
        <f>VLOOKUP(Control!$A76,Roster1!$B$8:$AF$39,Control!$D76,TRUE)</f>
        <v>7.7083333333333337E-2</v>
      </c>
      <c r="H77" s="17" t="s">
        <v>73</v>
      </c>
      <c r="I77" s="17" t="s">
        <v>74</v>
      </c>
    </row>
    <row r="78" spans="1:9" x14ac:dyDescent="0.7">
      <c r="A78" s="19" t="str">
        <f>VLOOKUP(Control!A77,Roster1!$B$8:$AF$39,Control!B77,TRUE)</f>
        <v>SP</v>
      </c>
      <c r="B78" s="17" t="s">
        <v>75</v>
      </c>
      <c r="C78" s="17"/>
      <c r="D78" s="20">
        <f>Control!$A77</f>
        <v>46081</v>
      </c>
      <c r="E78" s="20">
        <f>IFERROR(IF($G78-$F78&lt;0,Control!$A77+1,Control!$A77),Control!$A77)</f>
        <v>46082</v>
      </c>
      <c r="F78" s="23">
        <f>VLOOKUP(Control!$A77,Roster1!$B$8:$AF$39,Control!$C77,TRUE)</f>
        <v>0.78263888888888899</v>
      </c>
      <c r="G78" s="23">
        <f>VLOOKUP(Control!$A77,Roster1!$B$8:$AF$39,Control!$D77,TRUE)</f>
        <v>0.19236111111111112</v>
      </c>
      <c r="H78" s="17" t="s">
        <v>73</v>
      </c>
      <c r="I78" s="17" t="s">
        <v>74</v>
      </c>
    </row>
    <row r="79" spans="1:9" x14ac:dyDescent="0.7">
      <c r="A79" s="19" t="str">
        <f>VLOOKUP(Control!A78,Roster1!$B$8:$AF$39,Control!B78,TRUE)</f>
        <v>SP</v>
      </c>
      <c r="B79" s="17" t="s">
        <v>75</v>
      </c>
      <c r="C79" s="17"/>
      <c r="D79" s="20">
        <f>Control!$A78</f>
        <v>46082</v>
      </c>
      <c r="E79" s="20">
        <f>IFERROR(IF($G79-$F79&lt;0,Control!$A78+1,Control!$A78),Control!$A78)</f>
        <v>46083</v>
      </c>
      <c r="F79" s="23">
        <f>VLOOKUP(Control!$A78,Roster1!$B$8:$AF$39,Control!$C78,TRUE)</f>
        <v>0.70138888888888884</v>
      </c>
      <c r="G79" s="23">
        <f>VLOOKUP(Control!$A78,Roster1!$B$8:$AF$39,Control!$D78,TRUE)</f>
        <v>0.1111111111111111</v>
      </c>
      <c r="H79" s="17" t="s">
        <v>73</v>
      </c>
      <c r="I79" s="17" t="s">
        <v>74</v>
      </c>
    </row>
    <row r="80" spans="1:9" x14ac:dyDescent="0.7">
      <c r="A80" s="19" t="str">
        <f>VLOOKUP(Control!A79,Roster1!$B$8:$AF$39,Control!B79,TRUE)</f>
        <v>SP</v>
      </c>
      <c r="B80" s="17" t="s">
        <v>75</v>
      </c>
      <c r="C80" s="17"/>
      <c r="D80" s="20">
        <f>Control!$A79</f>
        <v>46083</v>
      </c>
      <c r="E80" s="20">
        <f>IFERROR(IF($G80-$F80&lt;0,Control!$A79+1,Control!$A79),Control!$A79)</f>
        <v>46084</v>
      </c>
      <c r="F80" s="23">
        <f>VLOOKUP(Control!$A79,Roster1!$B$8:$AF$39,Control!$C79,TRUE)</f>
        <v>0.66527777777777775</v>
      </c>
      <c r="G80" s="23">
        <f>VLOOKUP(Control!$A79,Roster1!$B$8:$AF$39,Control!$D79,TRUE)</f>
        <v>7.8472222222222221E-2</v>
      </c>
      <c r="H80" s="17" t="s">
        <v>73</v>
      </c>
      <c r="I80" s="17" t="s">
        <v>74</v>
      </c>
    </row>
    <row r="81" spans="1:9" x14ac:dyDescent="0.7">
      <c r="A81" s="19" t="str">
        <f>VLOOKUP(Control!A80,Roster1!$B$8:$AF$39,Control!B80,TRUE)</f>
        <v>CU  908</v>
      </c>
      <c r="B81" s="17" t="s">
        <v>75</v>
      </c>
      <c r="C81" s="17"/>
      <c r="D81" s="20">
        <f>Control!$A80</f>
        <v>46084</v>
      </c>
      <c r="E81" s="20">
        <f>IFERROR(IF($G81-$F81&lt;0,Control!$A80+1,Control!$A80),Control!$A80)</f>
        <v>46085</v>
      </c>
      <c r="F81" s="23">
        <f>VLOOKUP(Control!$A80,Roster1!$B$8:$AF$39,Control!$C80,TRUE)</f>
        <v>0.8208333333333333</v>
      </c>
      <c r="G81" s="23">
        <f>VLOOKUP(Control!$A80,Roster1!$B$8:$AF$39,Control!$D80,TRUE)</f>
        <v>0.16805555555555557</v>
      </c>
      <c r="H81" s="17" t="s">
        <v>73</v>
      </c>
      <c r="I81" s="17" t="s">
        <v>74</v>
      </c>
    </row>
    <row r="82" spans="1:9" x14ac:dyDescent="0.7">
      <c r="A82" s="19" t="str">
        <f>VLOOKUP(Control!A81,Roster1!$B$8:$AF$39,Control!B81,TRUE)</f>
        <v>CU  909</v>
      </c>
      <c r="B82" s="17" t="s">
        <v>75</v>
      </c>
      <c r="C82" s="17"/>
      <c r="D82" s="20">
        <f>Control!$A81</f>
        <v>46085</v>
      </c>
      <c r="E82" s="20">
        <f>IFERROR(IF($G82-$F82&lt;0,Control!$A81+1,Control!$A81),Control!$A81)</f>
        <v>46086</v>
      </c>
      <c r="F82" s="23">
        <f>VLOOKUP(Control!$A81,Roster1!$B$8:$AF$39,Control!$C81,TRUE)</f>
        <v>0.70972222222222225</v>
      </c>
      <c r="G82" s="23">
        <f>VLOOKUP(Control!$A81,Roster1!$B$8:$AF$39,Control!$D81,TRUE)</f>
        <v>9.0277777777777769E-3</v>
      </c>
      <c r="H82" s="17" t="s">
        <v>73</v>
      </c>
      <c r="I82" s="17" t="s">
        <v>74</v>
      </c>
    </row>
    <row r="83" spans="1:9" x14ac:dyDescent="0.7">
      <c r="A83" s="19" t="str">
        <f>VLOOKUP(Control!A82,Roster1!$B$8:$AF$39,Control!B82,TRUE)</f>
        <v>RD</v>
      </c>
      <c r="B83" s="17" t="s">
        <v>75</v>
      </c>
      <c r="C83" s="17"/>
      <c r="D83" s="20">
        <f>Control!$A82</f>
        <v>46086</v>
      </c>
      <c r="E83" s="20">
        <f>IFERROR(IF($G83-$F83&lt;0,Control!$A82+1,Control!$A82),Control!$A82)</f>
        <v>46086</v>
      </c>
      <c r="F83" s="23" t="str">
        <f>VLOOKUP(Control!$A82,Roster1!$B$8:$AF$39,Control!$C82,TRUE)</f>
        <v/>
      </c>
      <c r="G83" s="23" t="str">
        <f>VLOOKUP(Control!$A82,Roster1!$B$8:$AF$39,Control!$D82,TRUE)</f>
        <v/>
      </c>
      <c r="H83" s="17" t="s">
        <v>73</v>
      </c>
      <c r="I83" s="17" t="s">
        <v>74</v>
      </c>
    </row>
    <row r="84" spans="1:9" x14ac:dyDescent="0.7">
      <c r="A84" s="19" t="str">
        <f>VLOOKUP(Control!A83,Roster1!$B$8:$AF$39,Control!B83,TRUE)</f>
        <v>RD</v>
      </c>
      <c r="B84" s="17" t="s">
        <v>75</v>
      </c>
      <c r="C84" s="17"/>
      <c r="D84" s="20">
        <f>Control!$A83</f>
        <v>46087</v>
      </c>
      <c r="E84" s="20">
        <f>IFERROR(IF($G84-$F84&lt;0,Control!$A83+1,Control!$A83),Control!$A83)</f>
        <v>46087</v>
      </c>
      <c r="F84" s="23" t="str">
        <f>VLOOKUP(Control!$A83,Roster1!$B$8:$AF$39,Control!$C83,TRUE)</f>
        <v/>
      </c>
      <c r="G84" s="23" t="str">
        <f>VLOOKUP(Control!$A83,Roster1!$B$8:$AF$39,Control!$D83,TRUE)</f>
        <v/>
      </c>
      <c r="H84" s="17" t="s">
        <v>73</v>
      </c>
      <c r="I84" s="17" t="s">
        <v>74</v>
      </c>
    </row>
    <row r="85" spans="1:9" x14ac:dyDescent="0.7">
      <c r="A85" s="19" t="str">
        <f>VLOOKUP(Control!A84,Roster1!$B$8:$AF$39,Control!B84,TRUE)</f>
        <v>RD</v>
      </c>
      <c r="B85" s="17" t="s">
        <v>75</v>
      </c>
      <c r="C85" s="17"/>
      <c r="D85" s="20">
        <f>Control!$A84</f>
        <v>46088</v>
      </c>
      <c r="E85" s="20">
        <f>IFERROR(IF($G85-$F85&lt;0,Control!$A84+1,Control!$A84),Control!$A84)</f>
        <v>46088</v>
      </c>
      <c r="F85" s="23" t="str">
        <f>VLOOKUP(Control!$A84,Roster1!$B$8:$AF$39,Control!$C84,TRUE)</f>
        <v/>
      </c>
      <c r="G85" s="23" t="str">
        <f>VLOOKUP(Control!$A84,Roster1!$B$8:$AF$39,Control!$D84,TRUE)</f>
        <v/>
      </c>
      <c r="H85" s="17" t="s">
        <v>73</v>
      </c>
      <c r="I85" s="17" t="s">
        <v>74</v>
      </c>
    </row>
    <row r="86" spans="1:9" x14ac:dyDescent="0.7">
      <c r="A86" s="19" t="str">
        <f>VLOOKUP(Control!A85,Roster1!$B$8:$AF$39,Control!B85,TRUE)</f>
        <v>RD</v>
      </c>
      <c r="B86" s="17" t="s">
        <v>75</v>
      </c>
      <c r="C86" s="17"/>
      <c r="D86" s="20">
        <f>Control!$A85</f>
        <v>46089</v>
      </c>
      <c r="E86" s="20">
        <f>IFERROR(IF($G86-$F86&lt;0,Control!$A85+1,Control!$A85),Control!$A85)</f>
        <v>46089</v>
      </c>
      <c r="F86" s="23" t="str">
        <f>VLOOKUP(Control!$A85,Roster1!$B$8:$AF$39,Control!$C85,TRUE)</f>
        <v/>
      </c>
      <c r="G86" s="23" t="str">
        <f>VLOOKUP(Control!$A85,Roster1!$B$8:$AF$39,Control!$D85,TRUE)</f>
        <v/>
      </c>
      <c r="H86" s="17" t="s">
        <v>73</v>
      </c>
      <c r="I86" s="17" t="s">
        <v>74</v>
      </c>
    </row>
    <row r="87" spans="1:9" x14ac:dyDescent="0.7">
      <c r="A87" s="19" t="str">
        <f>VLOOKUP(Control!A86,Roster1!$B$8:$AF$39,Control!B86,TRUE)</f>
        <v>CU  901</v>
      </c>
      <c r="B87" s="17" t="s">
        <v>75</v>
      </c>
      <c r="C87" s="17"/>
      <c r="D87" s="20">
        <f>Control!$A86</f>
        <v>46090</v>
      </c>
      <c r="E87" s="20">
        <f>IFERROR(IF($G87-$F87&lt;0,Control!$A86+1,Control!$A86),Control!$A86)</f>
        <v>46090</v>
      </c>
      <c r="F87" s="23">
        <f>VLOOKUP(Control!$A86,Roster1!$B$8:$AF$39,Control!$C86,TRUE)</f>
        <v>0.19027777777777777</v>
      </c>
      <c r="G87" s="23">
        <f>VLOOKUP(Control!$A86,Roster1!$B$8:$AF$39,Control!$D86,TRUE)</f>
        <v>0.54097222222222219</v>
      </c>
      <c r="H87" s="17" t="s">
        <v>73</v>
      </c>
      <c r="I87" s="17" t="s">
        <v>74</v>
      </c>
    </row>
    <row r="88" spans="1:9" x14ac:dyDescent="0.7">
      <c r="A88" s="19" t="str">
        <f>VLOOKUP(Control!A87,Roster1!$B$8:$AF$39,Control!B87,TRUE)</f>
        <v>SP</v>
      </c>
      <c r="B88" s="17" t="s">
        <v>75</v>
      </c>
      <c r="C88" s="17"/>
      <c r="D88" s="20">
        <f>Control!$A87</f>
        <v>46091</v>
      </c>
      <c r="E88" s="20">
        <f>IFERROR(IF($G88-$F88&lt;0,Control!$A87+1,Control!$A87),Control!$A87)</f>
        <v>46091</v>
      </c>
      <c r="F88" s="23">
        <f>VLOOKUP(Control!$A87,Roster1!$B$8:$AF$39,Control!$C87,TRUE)</f>
        <v>0.26944444444444443</v>
      </c>
      <c r="G88" s="23">
        <f>VLOOKUP(Control!$A87,Roster1!$B$8:$AF$39,Control!$D87,TRUE)</f>
        <v>0.68611111111111101</v>
      </c>
      <c r="H88" s="17" t="s">
        <v>73</v>
      </c>
      <c r="I88" s="17" t="s">
        <v>74</v>
      </c>
    </row>
    <row r="89" spans="1:9" x14ac:dyDescent="0.7">
      <c r="A89" s="19" t="str">
        <f>VLOOKUP(Control!A88,Roster1!$B$8:$AF$39,Control!B88,TRUE)</f>
        <v>SP</v>
      </c>
      <c r="B89" s="17" t="s">
        <v>75</v>
      </c>
      <c r="C89" s="17"/>
      <c r="D89" s="20">
        <f>Control!$A88</f>
        <v>46092</v>
      </c>
      <c r="E89" s="20">
        <f>IFERROR(IF($G89-$F89&lt;0,Control!$A88+1,Control!$A88),Control!$A88)</f>
        <v>46092</v>
      </c>
      <c r="F89" s="23">
        <f>VLOOKUP(Control!$A88,Roster1!$B$8:$AF$39,Control!$C88,TRUE)</f>
        <v>0.26944444444444443</v>
      </c>
      <c r="G89" s="23">
        <f>VLOOKUP(Control!$A88,Roster1!$B$8:$AF$39,Control!$D88,TRUE)</f>
        <v>0.68611111111111101</v>
      </c>
      <c r="H89" s="17" t="s">
        <v>73</v>
      </c>
      <c r="I89" s="17" t="s">
        <v>74</v>
      </c>
    </row>
    <row r="90" spans="1:9" x14ac:dyDescent="0.7">
      <c r="A90" s="19" t="str">
        <f>VLOOKUP(Control!A89,Roster1!$B$8:$AF$39,Control!B89,TRUE)</f>
        <v>SP</v>
      </c>
      <c r="B90" s="17" t="s">
        <v>75</v>
      </c>
      <c r="C90" s="17"/>
      <c r="D90" s="20">
        <f>Control!$A89</f>
        <v>46093</v>
      </c>
      <c r="E90" s="20">
        <f>IFERROR(IF($G90-$F90&lt;0,Control!$A89+1,Control!$A89),Control!$A89)</f>
        <v>46093</v>
      </c>
      <c r="F90" s="23">
        <f>VLOOKUP(Control!$A89,Roster1!$B$8:$AF$39,Control!$C89,TRUE)</f>
        <v>0.18611111111111112</v>
      </c>
      <c r="G90" s="23">
        <f>VLOOKUP(Control!$A89,Roster1!$B$8:$AF$39,Control!$D89,TRUE)</f>
        <v>0.56111111111111112</v>
      </c>
      <c r="H90" s="17" t="s">
        <v>73</v>
      </c>
      <c r="I90" s="17" t="s">
        <v>74</v>
      </c>
    </row>
    <row r="91" spans="1:9" x14ac:dyDescent="0.7">
      <c r="A91" s="19" t="str">
        <f>VLOOKUP(Control!A90,Roster1!$B$8:$AF$39,Control!B90,TRUE)</f>
        <v>CU  903</v>
      </c>
      <c r="B91" s="17" t="s">
        <v>75</v>
      </c>
      <c r="C91" s="17"/>
      <c r="D91" s="20">
        <f>Control!$A90</f>
        <v>46094</v>
      </c>
      <c r="E91" s="20">
        <f>IFERROR(IF($G91-$F91&lt;0,Control!$A90+1,Control!$A90),Control!$A90)</f>
        <v>46094</v>
      </c>
      <c r="F91" s="23">
        <f>VLOOKUP(Control!$A90,Roster1!$B$8:$AF$39,Control!$C90,TRUE)</f>
        <v>0.28819444444444442</v>
      </c>
      <c r="G91" s="23">
        <f>VLOOKUP(Control!$A90,Roster1!$B$8:$AF$39,Control!$D90,TRUE)</f>
        <v>0.49930555555555556</v>
      </c>
      <c r="H91" s="17" t="s">
        <v>73</v>
      </c>
      <c r="I91" s="17" t="s">
        <v>74</v>
      </c>
    </row>
    <row r="92" spans="1:9" x14ac:dyDescent="0.7">
      <c r="A92" s="19" t="str">
        <f>VLOOKUP(Control!A91,Roster1!$B$8:$AF$39,Control!B91,TRUE)</f>
        <v>RD</v>
      </c>
      <c r="B92" s="17" t="s">
        <v>75</v>
      </c>
      <c r="C92" s="17"/>
      <c r="D92" s="20">
        <f>Control!$A91</f>
        <v>46095</v>
      </c>
      <c r="E92" s="20">
        <f>IFERROR(IF($G92-$F92&lt;0,Control!$A91+1,Control!$A91),Control!$A91)</f>
        <v>46095</v>
      </c>
      <c r="F92" s="23" t="str">
        <f>VLOOKUP(Control!$A91,Roster1!$B$8:$AF$39,Control!$C91,TRUE)</f>
        <v/>
      </c>
      <c r="G92" s="23" t="str">
        <f>VLOOKUP(Control!$A91,Roster1!$B$8:$AF$39,Control!$D91,TRUE)</f>
        <v/>
      </c>
      <c r="H92" s="17" t="s">
        <v>73</v>
      </c>
      <c r="I92" s="17" t="s">
        <v>74</v>
      </c>
    </row>
    <row r="93" spans="1:9" x14ac:dyDescent="0.7">
      <c r="A93" s="19" t="str">
        <f>VLOOKUP(Control!A92,Roster1!$B$8:$AF$39,Control!B92,TRUE)</f>
        <v>RD</v>
      </c>
      <c r="B93" s="17" t="s">
        <v>75</v>
      </c>
      <c r="C93" s="17"/>
      <c r="D93" s="20">
        <f>Control!$A92</f>
        <v>46096</v>
      </c>
      <c r="E93" s="20">
        <f>IFERROR(IF($G93-$F93&lt;0,Control!$A92+1,Control!$A92),Control!$A92)</f>
        <v>46096</v>
      </c>
      <c r="F93" s="23" t="str">
        <f>VLOOKUP(Control!$A92,Roster1!$B$8:$AF$39,Control!$C92,TRUE)</f>
        <v/>
      </c>
      <c r="G93" s="23" t="str">
        <f>VLOOKUP(Control!$A92,Roster1!$B$8:$AF$39,Control!$D92,TRUE)</f>
        <v/>
      </c>
      <c r="H93" s="17" t="s">
        <v>73</v>
      </c>
      <c r="I93" s="17" t="s">
        <v>74</v>
      </c>
    </row>
    <row r="94" spans="1:9" x14ac:dyDescent="0.7">
      <c r="A94" s="19" t="str">
        <f>VLOOKUP(Control!A93,Roster1!$B$8:$AF$39,Control!B93,TRUE)</f>
        <v>RD</v>
      </c>
      <c r="B94" s="17" t="s">
        <v>75</v>
      </c>
      <c r="C94" s="17"/>
      <c r="D94" s="20">
        <f>Control!$A93</f>
        <v>46097</v>
      </c>
      <c r="E94" s="20">
        <f>IFERROR(IF($G94-$F94&lt;0,Control!$A93+1,Control!$A93),Control!$A93)</f>
        <v>46097</v>
      </c>
      <c r="F94" s="23" t="str">
        <f>VLOOKUP(Control!$A93,Roster1!$B$8:$AF$39,Control!$C93,TRUE)</f>
        <v/>
      </c>
      <c r="G94" s="23" t="str">
        <f>VLOOKUP(Control!$A93,Roster1!$B$8:$AF$39,Control!$D93,TRUE)</f>
        <v/>
      </c>
      <c r="H94" s="17" t="s">
        <v>73</v>
      </c>
      <c r="I94" s="17" t="s">
        <v>74</v>
      </c>
    </row>
    <row r="95" spans="1:9" x14ac:dyDescent="0.7">
      <c r="A95" s="19" t="str">
        <f>VLOOKUP(Control!A94,Roster1!$B$8:$AF$39,Control!B94,TRUE)</f>
        <v>SP</v>
      </c>
      <c r="B95" s="17" t="s">
        <v>75</v>
      </c>
      <c r="C95" s="17"/>
      <c r="D95" s="20">
        <f>Control!$A94</f>
        <v>46098</v>
      </c>
      <c r="E95" s="20">
        <f>IFERROR(IF($G95-$F95&lt;0,Control!$A94+1,Control!$A94),Control!$A94)</f>
        <v>46098</v>
      </c>
      <c r="F95" s="23">
        <f>VLOOKUP(Control!$A94,Roster1!$B$8:$AF$39,Control!$C94,TRUE)</f>
        <v>0.5625</v>
      </c>
      <c r="G95" s="23">
        <f>VLOOKUP(Control!$A94,Roster1!$B$8:$AF$39,Control!$D94,TRUE)</f>
        <v>0.97916666666666663</v>
      </c>
      <c r="H95" s="17" t="s">
        <v>73</v>
      </c>
      <c r="I95" s="17" t="s">
        <v>74</v>
      </c>
    </row>
    <row r="96" spans="1:9" x14ac:dyDescent="0.7">
      <c r="A96" s="19" t="str">
        <f>VLOOKUP(Control!A95,Roster1!$B$8:$AF$39,Control!B95,TRUE)</f>
        <v>SP</v>
      </c>
      <c r="B96" s="17" t="s">
        <v>75</v>
      </c>
      <c r="C96" s="17"/>
      <c r="D96" s="20">
        <f>Control!$A95</f>
        <v>46099</v>
      </c>
      <c r="E96" s="20">
        <f>IFERROR(IF($G96-$F96&lt;0,Control!$A95+1,Control!$A95),Control!$A95)</f>
        <v>46099</v>
      </c>
      <c r="F96" s="23">
        <f>VLOOKUP(Control!$A95,Roster1!$B$8:$AF$39,Control!$C95,TRUE)</f>
        <v>0.5</v>
      </c>
      <c r="G96" s="23">
        <f>VLOOKUP(Control!$A95,Roster1!$B$8:$AF$39,Control!$D95,TRUE)</f>
        <v>0.91666666666666663</v>
      </c>
      <c r="H96" s="17" t="s">
        <v>73</v>
      </c>
      <c r="I96" s="17" t="s">
        <v>74</v>
      </c>
    </row>
    <row r="97" spans="1:9" x14ac:dyDescent="0.7">
      <c r="A97" s="19" t="str">
        <f>VLOOKUP(Control!A96,Roster1!$B$8:$AF$39,Control!B96,TRUE)</f>
        <v>SP</v>
      </c>
      <c r="B97" s="17" t="s">
        <v>75</v>
      </c>
      <c r="C97" s="17"/>
      <c r="D97" s="20">
        <f>Control!$A96</f>
        <v>46100</v>
      </c>
      <c r="E97" s="20">
        <f>IFERROR(IF($G97-$F97&lt;0,Control!$A96+1,Control!$A96),Control!$A96)</f>
        <v>46100</v>
      </c>
      <c r="F97" s="23">
        <f>VLOOKUP(Control!$A96,Roster1!$B$8:$AF$39,Control!$C96,TRUE)</f>
        <v>0.58124999999999993</v>
      </c>
      <c r="G97" s="23">
        <f>VLOOKUP(Control!$A96,Roster1!$B$8:$AF$39,Control!$D96,TRUE)</f>
        <v>0.99791666666666667</v>
      </c>
      <c r="H97" s="17" t="s">
        <v>73</v>
      </c>
      <c r="I97" s="17" t="s">
        <v>74</v>
      </c>
    </row>
    <row r="98" spans="1:9" x14ac:dyDescent="0.7">
      <c r="A98" s="19" t="str">
        <f>VLOOKUP(Control!A97,Roster1!$B$8:$AF$39,Control!B97,TRUE)</f>
        <v>CU  905</v>
      </c>
      <c r="B98" s="17" t="s">
        <v>75</v>
      </c>
      <c r="C98" s="17"/>
      <c r="D98" s="20">
        <f>Control!$A97</f>
        <v>46101</v>
      </c>
      <c r="E98" s="20">
        <f>IFERROR(IF($G98-$F98&lt;0,Control!$A97+1,Control!$A97),Control!$A97)</f>
        <v>46101</v>
      </c>
      <c r="F98" s="23">
        <f>VLOOKUP(Control!$A97,Roster1!$B$8:$AF$39,Control!$C97,TRUE)</f>
        <v>0.58333333333333337</v>
      </c>
      <c r="G98" s="23">
        <f>VLOOKUP(Control!$A97,Roster1!$B$8:$AF$39,Control!$D97,TRUE)</f>
        <v>0.98124999999999996</v>
      </c>
      <c r="H98" s="17" t="s">
        <v>73</v>
      </c>
      <c r="I98" s="17" t="s">
        <v>74</v>
      </c>
    </row>
    <row r="99" spans="1:9" x14ac:dyDescent="0.7">
      <c r="A99" s="19" t="str">
        <f>VLOOKUP(Control!A98,Roster1!$B$8:$AF$39,Control!B98,TRUE)</f>
        <v>CU  1905</v>
      </c>
      <c r="B99" s="17" t="s">
        <v>75</v>
      </c>
      <c r="C99" s="17"/>
      <c r="D99" s="20">
        <f>Control!$A98</f>
        <v>46102</v>
      </c>
      <c r="E99" s="20">
        <f>IFERROR(IF($G99-$F99&lt;0,Control!$A98+1,Control!$A98),Control!$A98)</f>
        <v>46102</v>
      </c>
      <c r="F99" s="23">
        <f>VLOOKUP(Control!$A98,Roster1!$B$8:$AF$39,Control!$C98,TRUE)</f>
        <v>0.5</v>
      </c>
      <c r="G99" s="23">
        <f>VLOOKUP(Control!$A98,Roster1!$B$8:$AF$39,Control!$D98,TRUE)</f>
        <v>0.70833333333333337</v>
      </c>
      <c r="H99" s="17" t="s">
        <v>73</v>
      </c>
      <c r="I99" s="17" t="s">
        <v>74</v>
      </c>
    </row>
    <row r="100" spans="1:9" x14ac:dyDescent="0.7">
      <c r="A100" s="19" t="str">
        <f>VLOOKUP(Control!A99,Roster1!$B$8:$AF$39,Control!B99,TRUE)</f>
        <v>RD</v>
      </c>
      <c r="B100" s="17" t="s">
        <v>75</v>
      </c>
      <c r="C100" s="17"/>
      <c r="D100" s="20">
        <f>Control!$A99</f>
        <v>46103</v>
      </c>
      <c r="E100" s="20">
        <f>IFERROR(IF($G100-$F100&lt;0,Control!$A99+1,Control!$A99),Control!$A99)</f>
        <v>46103</v>
      </c>
      <c r="F100" s="23" t="str">
        <f>VLOOKUP(Control!$A99,Roster1!$B$8:$AF$39,Control!$C99,TRUE)</f>
        <v/>
      </c>
      <c r="G100" s="23" t="str">
        <f>VLOOKUP(Control!$A99,Roster1!$B$8:$AF$39,Control!$D99,TRUE)</f>
        <v/>
      </c>
      <c r="H100" s="17" t="s">
        <v>73</v>
      </c>
      <c r="I100" s="17" t="s">
        <v>74</v>
      </c>
    </row>
    <row r="101" spans="1:9" x14ac:dyDescent="0.7">
      <c r="A101" s="19" t="str">
        <f>VLOOKUP(Control!A100,Roster1!$B$8:$AF$39,Control!B100,TRUE)</f>
        <v>RD</v>
      </c>
      <c r="B101" s="17" t="s">
        <v>75</v>
      </c>
      <c r="C101" s="17"/>
      <c r="D101" s="20">
        <f>Control!$A100</f>
        <v>46104</v>
      </c>
      <c r="E101" s="20">
        <f>IFERROR(IF($G101-$F101&lt;0,Control!$A100+1,Control!$A100),Control!$A100)</f>
        <v>46104</v>
      </c>
      <c r="F101" s="23" t="str">
        <f>VLOOKUP(Control!$A100,Roster1!$B$8:$AF$39,Control!$C100,TRUE)</f>
        <v/>
      </c>
      <c r="G101" s="23" t="str">
        <f>VLOOKUP(Control!$A100,Roster1!$B$8:$AF$39,Control!$D100,TRUE)</f>
        <v/>
      </c>
      <c r="H101" s="17" t="s">
        <v>73</v>
      </c>
      <c r="I101" s="17" t="s">
        <v>74</v>
      </c>
    </row>
    <row r="102" spans="1:9" x14ac:dyDescent="0.7">
      <c r="A102" s="19" t="str">
        <f>VLOOKUP(Control!A101,Roster1!$B$8:$AF$39,Control!B101,TRUE)</f>
        <v>RD</v>
      </c>
      <c r="B102" s="17" t="s">
        <v>75</v>
      </c>
      <c r="C102" s="17"/>
      <c r="D102" s="20">
        <f>Control!$A101</f>
        <v>46105</v>
      </c>
      <c r="E102" s="20">
        <f>IFERROR(IF($G102-$F102&lt;0,Control!$A101+1,Control!$A101),Control!$A101)</f>
        <v>46105</v>
      </c>
      <c r="F102" s="23" t="str">
        <f>VLOOKUP(Control!$A101,Roster1!$B$8:$AF$39,Control!$C101,TRUE)</f>
        <v/>
      </c>
      <c r="G102" s="23" t="str">
        <f>VLOOKUP(Control!$A101,Roster1!$B$8:$AF$39,Control!$D101,TRUE)</f>
        <v/>
      </c>
      <c r="H102" s="17" t="s">
        <v>73</v>
      </c>
      <c r="I102" s="17" t="s">
        <v>74</v>
      </c>
    </row>
    <row r="103" spans="1:9" x14ac:dyDescent="0.7">
      <c r="A103" s="19" t="str">
        <f>VLOOKUP(Control!A102,Roster1!$B$8:$AF$39,Control!B102,TRUE)</f>
        <v>CU  901</v>
      </c>
      <c r="B103" s="17" t="s">
        <v>75</v>
      </c>
      <c r="C103" s="17"/>
      <c r="D103" s="20">
        <f>Control!$A102</f>
        <v>46106</v>
      </c>
      <c r="E103" s="20">
        <f>IFERROR(IF($G103-$F103&lt;0,Control!$A102+1,Control!$A102),Control!$A102)</f>
        <v>46106</v>
      </c>
      <c r="F103" s="23">
        <f>VLOOKUP(Control!$A102,Roster1!$B$8:$AF$39,Control!$C102,TRUE)</f>
        <v>0.19027777777777777</v>
      </c>
      <c r="G103" s="23">
        <f>VLOOKUP(Control!$A102,Roster1!$B$8:$AF$39,Control!$D102,TRUE)</f>
        <v>0.54097222222222219</v>
      </c>
      <c r="H103" s="17" t="s">
        <v>73</v>
      </c>
      <c r="I103" s="17" t="s">
        <v>74</v>
      </c>
    </row>
    <row r="104" spans="1:9" x14ac:dyDescent="0.7">
      <c r="A104" s="19" t="str">
        <f>VLOOKUP(Control!A103,Roster1!$B$8:$AF$39,Control!B103,TRUE)</f>
        <v>SP</v>
      </c>
      <c r="B104" s="17" t="s">
        <v>75</v>
      </c>
      <c r="C104" s="17"/>
      <c r="D104" s="20">
        <f>Control!$A103</f>
        <v>46107</v>
      </c>
      <c r="E104" s="20">
        <f>IFERROR(IF($G104-$F104&lt;0,Control!$A103+1,Control!$A103),Control!$A103)</f>
        <v>46107</v>
      </c>
      <c r="F104" s="23">
        <f>VLOOKUP(Control!$A103,Roster1!$B$8:$AF$39,Control!$C103,TRUE)</f>
        <v>0.26944444444444443</v>
      </c>
      <c r="G104" s="23">
        <f>VLOOKUP(Control!$A103,Roster1!$B$8:$AF$39,Control!$D103,TRUE)</f>
        <v>0.68611111111111101</v>
      </c>
      <c r="H104" s="17" t="s">
        <v>73</v>
      </c>
      <c r="I104" s="17" t="s">
        <v>74</v>
      </c>
    </row>
    <row r="105" spans="1:9" x14ac:dyDescent="0.7">
      <c r="A105" s="19" t="str">
        <f>VLOOKUP(Control!A104,Roster1!$B$8:$AF$39,Control!B104,TRUE)</f>
        <v>SP</v>
      </c>
      <c r="B105" s="17" t="s">
        <v>75</v>
      </c>
      <c r="C105" s="17"/>
      <c r="D105" s="20">
        <f>Control!$A104</f>
        <v>46108</v>
      </c>
      <c r="E105" s="20">
        <f>IFERROR(IF($G105-$F105&lt;0,Control!$A104+1,Control!$A104),Control!$A104)</f>
        <v>46108</v>
      </c>
      <c r="F105" s="23">
        <f>VLOOKUP(Control!$A104,Roster1!$B$8:$AF$39,Control!$C104,TRUE)</f>
        <v>0.24166666666666667</v>
      </c>
      <c r="G105" s="23">
        <f>VLOOKUP(Control!$A104,Roster1!$B$8:$AF$39,Control!$D104,TRUE)</f>
        <v>0.65833333333333333</v>
      </c>
      <c r="H105" s="17" t="s">
        <v>73</v>
      </c>
      <c r="I105" s="17" t="s">
        <v>74</v>
      </c>
    </row>
    <row r="106" spans="1:9" x14ac:dyDescent="0.7">
      <c r="A106" s="19" t="str">
        <f>VLOOKUP(Control!A105,Roster1!$B$8:$AF$39,Control!B105,TRUE)</f>
        <v>SP</v>
      </c>
      <c r="B106" s="17" t="s">
        <v>75</v>
      </c>
      <c r="C106" s="17"/>
      <c r="D106" s="20">
        <f>Control!$A105</f>
        <v>46109</v>
      </c>
      <c r="E106" s="20">
        <f>IFERROR(IF($G106-$F106&lt;0,Control!$A105+1,Control!$A105),Control!$A105)</f>
        <v>46109</v>
      </c>
      <c r="F106" s="23">
        <f>VLOOKUP(Control!$A105,Roster1!$B$8:$AF$39,Control!$C105,TRUE)</f>
        <v>0.26944444444444443</v>
      </c>
      <c r="G106" s="23">
        <f>VLOOKUP(Control!$A105,Roster1!$B$8:$AF$39,Control!$D105,TRUE)</f>
        <v>0.68611111111111101</v>
      </c>
      <c r="H106" s="17" t="s">
        <v>73</v>
      </c>
      <c r="I106" s="17" t="s">
        <v>74</v>
      </c>
    </row>
    <row r="107" spans="1:9" x14ac:dyDescent="0.7">
      <c r="A107" s="19" t="str">
        <f>VLOOKUP(Control!A106,Roster1!$B$8:$AF$39,Control!B106,TRUE)</f>
        <v>RD</v>
      </c>
      <c r="B107" s="17" t="s">
        <v>75</v>
      </c>
      <c r="C107" s="17"/>
      <c r="D107" s="20">
        <f>Control!$A106</f>
        <v>46110</v>
      </c>
      <c r="E107" s="20">
        <f>IFERROR(IF($G107-$F107&lt;0,Control!$A106+1,Control!$A106),Control!$A106)</f>
        <v>46110</v>
      </c>
      <c r="F107" s="23" t="str">
        <f>VLOOKUP(Control!$A106,Roster1!$B$8:$AF$39,Control!$C106,TRUE)</f>
        <v/>
      </c>
      <c r="G107" s="23" t="str">
        <f>VLOOKUP(Control!$A106,Roster1!$B$8:$AF$39,Control!$D106,TRUE)</f>
        <v/>
      </c>
      <c r="H107" s="17" t="s">
        <v>73</v>
      </c>
      <c r="I107" s="17" t="s">
        <v>74</v>
      </c>
    </row>
    <row r="108" spans="1:9" x14ac:dyDescent="0.7">
      <c r="A108" s="19" t="str">
        <f>VLOOKUP(Control!A107,Roster1!$B$8:$AF$39,Control!B107,TRUE)</f>
        <v>RD</v>
      </c>
      <c r="B108" s="17" t="s">
        <v>75</v>
      </c>
      <c r="C108" s="17"/>
      <c r="D108" s="20">
        <f>Control!$A107</f>
        <v>46111</v>
      </c>
      <c r="E108" s="20">
        <f>IFERROR(IF($G108-$F108&lt;0,Control!$A107+1,Control!$A107),Control!$A107)</f>
        <v>46111</v>
      </c>
      <c r="F108" s="23" t="str">
        <f>VLOOKUP(Control!$A107,Roster1!$B$8:$AF$39,Control!$C107,TRUE)</f>
        <v/>
      </c>
      <c r="G108" s="23" t="str">
        <f>VLOOKUP(Control!$A107,Roster1!$B$8:$AF$39,Control!$D107,TRUE)</f>
        <v/>
      </c>
      <c r="H108" s="17" t="s">
        <v>73</v>
      </c>
      <c r="I108" s="17" t="s">
        <v>74</v>
      </c>
    </row>
    <row r="109" spans="1:9" x14ac:dyDescent="0.7">
      <c r="A109" s="19" t="str">
        <f>VLOOKUP(Control!A108,Roster1!$B$8:$AF$39,Control!B108,TRUE)</f>
        <v>RD</v>
      </c>
      <c r="B109" s="17" t="s">
        <v>75</v>
      </c>
      <c r="C109" s="17"/>
      <c r="D109" s="20">
        <f>Control!$A108</f>
        <v>46112</v>
      </c>
      <c r="E109" s="20">
        <f>IFERROR(IF($G109-$F109&lt;0,Control!$A108+1,Control!$A108),Control!$A108)</f>
        <v>46112</v>
      </c>
      <c r="F109" s="23" t="str">
        <f>VLOOKUP(Control!$A108,Roster1!$B$8:$AF$39,Control!$C108,TRUE)</f>
        <v/>
      </c>
      <c r="G109" s="23" t="str">
        <f>VLOOKUP(Control!$A108,Roster1!$B$8:$AF$39,Control!$D108,TRUE)</f>
        <v/>
      </c>
      <c r="H109" s="17" t="s">
        <v>73</v>
      </c>
      <c r="I109" s="17" t="s">
        <v>74</v>
      </c>
    </row>
    <row r="110" spans="1:9" x14ac:dyDescent="0.7">
      <c r="A110" s="19" t="str">
        <f>VLOOKUP(Control!A109,Roster1!$B$8:$AF$39,Control!B109,TRUE)</f>
        <v>SP</v>
      </c>
      <c r="B110" s="17" t="s">
        <v>75</v>
      </c>
      <c r="C110" s="17"/>
      <c r="D110" s="20">
        <f>Control!$A109</f>
        <v>46113</v>
      </c>
      <c r="E110" s="20">
        <f>IFERROR(IF($G110-$F110&lt;0,Control!$A109+1,Control!$A109),Control!$A109)</f>
        <v>46113</v>
      </c>
      <c r="F110" s="23">
        <f>VLOOKUP(Control!$A109,Roster1!$B$8:$AF$39,Control!$C109,TRUE)</f>
        <v>0.58124999999999993</v>
      </c>
      <c r="G110" s="23">
        <f>VLOOKUP(Control!$A109,Roster1!$B$8:$AF$39,Control!$D109,TRUE)</f>
        <v>0.99791666666666667</v>
      </c>
      <c r="H110" s="17" t="s">
        <v>73</v>
      </c>
      <c r="I110" s="17" t="s">
        <v>74</v>
      </c>
    </row>
    <row r="111" spans="1:9" x14ac:dyDescent="0.7">
      <c r="A111" s="19" t="str">
        <f>VLOOKUP(Control!A110,Roster1!$B$8:$AF$39,Control!B110,TRUE)</f>
        <v>CU  906</v>
      </c>
      <c r="B111" s="17" t="s">
        <v>75</v>
      </c>
      <c r="C111" s="17"/>
      <c r="D111" s="20">
        <f>Control!$A110</f>
        <v>46114</v>
      </c>
      <c r="E111" s="20">
        <f>IFERROR(IF($G111-$F111&lt;0,Control!$A110+1,Control!$A110),Control!$A110)</f>
        <v>46115</v>
      </c>
      <c r="F111" s="23">
        <f>VLOOKUP(Control!$A110,Roster1!$B$8:$AF$39,Control!$C110,TRUE)</f>
        <v>0.66805555555555551</v>
      </c>
      <c r="G111" s="23">
        <f>VLOOKUP(Control!$A110,Roster1!$B$8:$AF$39,Control!$D110,TRUE)</f>
        <v>1.0416666666666666E-2</v>
      </c>
      <c r="H111" s="17" t="s">
        <v>73</v>
      </c>
      <c r="I111" s="17" t="s">
        <v>74</v>
      </c>
    </row>
    <row r="112" spans="1:9" x14ac:dyDescent="0.7">
      <c r="A112" s="19" t="str">
        <f>VLOOKUP(Control!A111,Roster1!$B$8:$AF$39,Control!B111,TRUE)</f>
        <v>RD</v>
      </c>
      <c r="B112" s="17" t="s">
        <v>75</v>
      </c>
      <c r="C112" s="17"/>
      <c r="D112" s="20">
        <f>Control!$A111</f>
        <v>46115</v>
      </c>
      <c r="E112" s="20">
        <f>IFERROR(IF($G112-$F112&lt;0,Control!$A111+1,Control!$A111),Control!$A111)</f>
        <v>46115</v>
      </c>
      <c r="F112" s="23" t="str">
        <f>VLOOKUP(Control!$A111,Roster1!$B$8:$AF$39,Control!$C111,TRUE)</f>
        <v/>
      </c>
      <c r="G112" s="23" t="str">
        <f>VLOOKUP(Control!$A111,Roster1!$B$8:$AF$39,Control!$D111,TRUE)</f>
        <v/>
      </c>
      <c r="H112" s="17" t="s">
        <v>73</v>
      </c>
      <c r="I112" s="17" t="s">
        <v>74</v>
      </c>
    </row>
    <row r="113" spans="1:9" x14ac:dyDescent="0.7">
      <c r="A113" s="19" t="str">
        <f>VLOOKUP(Control!A112,Roster1!$B$8:$AF$39,Control!B112,TRUE)</f>
        <v>RD</v>
      </c>
      <c r="B113" s="17" t="s">
        <v>75</v>
      </c>
      <c r="C113" s="17"/>
      <c r="D113" s="20">
        <f>Control!$A112</f>
        <v>46116</v>
      </c>
      <c r="E113" s="20">
        <f>IFERROR(IF($G113-$F113&lt;0,Control!$A112+1,Control!$A112),Control!$A112)</f>
        <v>46116</v>
      </c>
      <c r="F113" s="23" t="str">
        <f>VLOOKUP(Control!$A112,Roster1!$B$8:$AF$39,Control!$C112,TRUE)</f>
        <v/>
      </c>
      <c r="G113" s="23" t="str">
        <f>VLOOKUP(Control!$A112,Roster1!$B$8:$AF$39,Control!$D112,TRUE)</f>
        <v/>
      </c>
      <c r="H113" s="17" t="s">
        <v>73</v>
      </c>
      <c r="I113" s="17" t="s">
        <v>74</v>
      </c>
    </row>
    <row r="114" spans="1:9" x14ac:dyDescent="0.7">
      <c r="A114" s="19" t="str">
        <f>VLOOKUP(Control!A113,Roster1!$B$8:$AF$39,Control!B113,TRUE)</f>
        <v>RD</v>
      </c>
      <c r="B114" s="17" t="s">
        <v>75</v>
      </c>
      <c r="C114" s="17"/>
      <c r="D114" s="20">
        <f>Control!$A113</f>
        <v>46117</v>
      </c>
      <c r="E114" s="20">
        <f>IFERROR(IF($G114-$F114&lt;0,Control!$A113+1,Control!$A113),Control!$A113)</f>
        <v>46117</v>
      </c>
      <c r="F114" s="23" t="str">
        <f>VLOOKUP(Control!$A113,Roster1!$B$8:$AF$39,Control!$C113,TRUE)</f>
        <v/>
      </c>
      <c r="G114" s="23" t="str">
        <f>VLOOKUP(Control!$A113,Roster1!$B$8:$AF$39,Control!$D113,TRUE)</f>
        <v/>
      </c>
      <c r="H114" s="17" t="s">
        <v>73</v>
      </c>
      <c r="I114" s="17" t="s">
        <v>74</v>
      </c>
    </row>
    <row r="115" spans="1:9" x14ac:dyDescent="0.7">
      <c r="A115" s="19" t="str">
        <f>VLOOKUP(Control!A114,Roster1!$B$8:$AF$39,Control!B114,TRUE)</f>
        <v>CU  902</v>
      </c>
      <c r="B115" s="17" t="s">
        <v>75</v>
      </c>
      <c r="C115" s="17"/>
      <c r="D115" s="20">
        <f>Control!$A114</f>
        <v>46118</v>
      </c>
      <c r="E115" s="20">
        <f>IFERROR(IF($G115-$F115&lt;0,Control!$A114+1,Control!$A114),Control!$A114)</f>
        <v>46118</v>
      </c>
      <c r="F115" s="23">
        <f>VLOOKUP(Control!$A114,Roster1!$B$8:$AF$39,Control!$C114,TRUE)</f>
        <v>0.24374999999999999</v>
      </c>
      <c r="G115" s="23">
        <f>VLOOKUP(Control!$A114,Roster1!$B$8:$AF$39,Control!$D114,TRUE)</f>
        <v>0.58263888888888893</v>
      </c>
      <c r="H115" s="17" t="s">
        <v>73</v>
      </c>
      <c r="I115" s="17" t="s">
        <v>74</v>
      </c>
    </row>
    <row r="116" spans="1:9" x14ac:dyDescent="0.7">
      <c r="A116" s="19" t="str">
        <f>VLOOKUP(Control!A115,Roster1!$B$8:$AF$39,Control!B115,TRUE)</f>
        <v>SP</v>
      </c>
      <c r="B116" s="17" t="s">
        <v>75</v>
      </c>
      <c r="C116" s="17"/>
      <c r="D116" s="20">
        <f>Control!$A115</f>
        <v>46119</v>
      </c>
      <c r="E116" s="20">
        <f>IFERROR(IF($G116-$F116&lt;0,Control!$A115+1,Control!$A115),Control!$A115)</f>
        <v>46119</v>
      </c>
      <c r="F116" s="23">
        <f>VLOOKUP(Control!$A115,Roster1!$B$8:$AF$39,Control!$C115,TRUE)</f>
        <v>0.24166666666666667</v>
      </c>
      <c r="G116" s="23">
        <f>VLOOKUP(Control!$A115,Roster1!$B$8:$AF$39,Control!$D115,TRUE)</f>
        <v>0.65833333333333333</v>
      </c>
      <c r="H116" s="17" t="s">
        <v>73</v>
      </c>
      <c r="I116" s="17" t="s">
        <v>74</v>
      </c>
    </row>
    <row r="117" spans="1:9" x14ac:dyDescent="0.7">
      <c r="A117" s="19" t="str">
        <f>VLOOKUP(Control!A116,Roster1!$B$8:$AF$39,Control!B116,TRUE)</f>
        <v>SP</v>
      </c>
      <c r="B117" s="17" t="s">
        <v>75</v>
      </c>
      <c r="C117" s="17"/>
      <c r="D117" s="20">
        <f>Control!$A116</f>
        <v>46120</v>
      </c>
      <c r="E117" s="20">
        <f>IFERROR(IF($G117-$F117&lt;0,Control!$A116+1,Control!$A116),Control!$A116)</f>
        <v>46120</v>
      </c>
      <c r="F117" s="23">
        <f>VLOOKUP(Control!$A116,Roster1!$B$8:$AF$39,Control!$C116,TRUE)</f>
        <v>0.24166666666666667</v>
      </c>
      <c r="G117" s="23">
        <f>VLOOKUP(Control!$A116,Roster1!$B$8:$AF$39,Control!$D116,TRUE)</f>
        <v>0.65833333333333333</v>
      </c>
      <c r="H117" s="17" t="s">
        <v>73</v>
      </c>
      <c r="I117" s="17" t="s">
        <v>74</v>
      </c>
    </row>
    <row r="118" spans="1:9" x14ac:dyDescent="0.7">
      <c r="A118" s="19" t="str">
        <f>VLOOKUP(Control!A117,Roster1!$B$8:$AF$39,Control!B117,TRUE)</f>
        <v>RR</v>
      </c>
      <c r="B118" s="17" t="s">
        <v>75</v>
      </c>
      <c r="C118" s="17"/>
      <c r="D118" s="20">
        <f>Control!$A117</f>
        <v>46121</v>
      </c>
      <c r="E118" s="20">
        <f>IFERROR(IF($G118-$F118&lt;0,Control!$A117+1,Control!$A117),Control!$A117)</f>
        <v>46121</v>
      </c>
      <c r="F118" s="23">
        <f>VLOOKUP(Control!$A117,Roster1!$B$8:$AF$39,Control!$C117,TRUE)</f>
        <v>0.3666666666666667</v>
      </c>
      <c r="G118" s="23">
        <f>VLOOKUP(Control!$A117,Roster1!$B$8:$AF$39,Control!$D117,TRUE)</f>
        <v>0.7416666666666667</v>
      </c>
      <c r="H118" s="17" t="s">
        <v>73</v>
      </c>
      <c r="I118" s="17" t="s">
        <v>74</v>
      </c>
    </row>
    <row r="119" spans="1:9" x14ac:dyDescent="0.7">
      <c r="A119" s="19" t="str">
        <f>VLOOKUP(Control!A118,Roster1!$B$8:$AF$39,Control!B118,TRUE)</f>
        <v>RD</v>
      </c>
      <c r="B119" s="17" t="s">
        <v>75</v>
      </c>
      <c r="C119" s="17"/>
      <c r="D119" s="20">
        <f>Control!$A118</f>
        <v>46122</v>
      </c>
      <c r="E119" s="20">
        <f>IFERROR(IF($G119-$F119&lt;0,Control!$A118+1,Control!$A118),Control!$A118)</f>
        <v>46122</v>
      </c>
      <c r="F119" s="23" t="str">
        <f>VLOOKUP(Control!$A118,Roster1!$B$8:$AF$39,Control!$C118,TRUE)</f>
        <v/>
      </c>
      <c r="G119" s="23" t="str">
        <f>VLOOKUP(Control!$A118,Roster1!$B$8:$AF$39,Control!$D118,TRUE)</f>
        <v/>
      </c>
      <c r="H119" s="17" t="s">
        <v>73</v>
      </c>
      <c r="I119" s="17" t="s">
        <v>74</v>
      </c>
    </row>
    <row r="120" spans="1:9" x14ac:dyDescent="0.7">
      <c r="A120" s="19" t="str">
        <f>VLOOKUP(Control!A119,Roster1!$B$8:$AF$39,Control!B119,TRUE)</f>
        <v>RD</v>
      </c>
      <c r="B120" s="17" t="s">
        <v>75</v>
      </c>
      <c r="C120" s="17"/>
      <c r="D120" s="20">
        <f>Control!$A119</f>
        <v>46123</v>
      </c>
      <c r="E120" s="20">
        <f>IFERROR(IF($G120-$F120&lt;0,Control!$A119+1,Control!$A119),Control!$A119)</f>
        <v>46123</v>
      </c>
      <c r="F120" s="23" t="str">
        <f>VLOOKUP(Control!$A119,Roster1!$B$8:$AF$39,Control!$C119,TRUE)</f>
        <v/>
      </c>
      <c r="G120" s="23" t="str">
        <f>VLOOKUP(Control!$A119,Roster1!$B$8:$AF$39,Control!$D119,TRUE)</f>
        <v/>
      </c>
      <c r="H120" s="17" t="s">
        <v>73</v>
      </c>
      <c r="I120" s="17" t="s">
        <v>74</v>
      </c>
    </row>
    <row r="121" spans="1:9" x14ac:dyDescent="0.7">
      <c r="A121" s="19" t="str">
        <f>VLOOKUP(Control!A120,Roster1!$B$8:$AF$39,Control!B120,TRUE)</f>
        <v>RD</v>
      </c>
      <c r="B121" s="17" t="s">
        <v>75</v>
      </c>
      <c r="C121" s="17"/>
      <c r="D121" s="20">
        <f>Control!$A120</f>
        <v>46124</v>
      </c>
      <c r="E121" s="20">
        <f>IFERROR(IF($G121-$F121&lt;0,Control!$A120+1,Control!$A120),Control!$A120)</f>
        <v>46124</v>
      </c>
      <c r="F121" s="23" t="str">
        <f>VLOOKUP(Control!$A120,Roster1!$B$8:$AF$39,Control!$C120,TRUE)</f>
        <v/>
      </c>
      <c r="G121" s="23" t="str">
        <f>VLOOKUP(Control!$A120,Roster1!$B$8:$AF$39,Control!$D120,TRUE)</f>
        <v/>
      </c>
      <c r="H121" s="17" t="s">
        <v>73</v>
      </c>
      <c r="I121" s="17" t="s">
        <v>74</v>
      </c>
    </row>
    <row r="122" spans="1:9" x14ac:dyDescent="0.7">
      <c r="A122" s="19" t="str">
        <f>VLOOKUP(Control!A121,Roster1!$B$8:$AF$39,Control!B121,TRUE)</f>
        <v>CU  906</v>
      </c>
      <c r="B122" s="17" t="s">
        <v>75</v>
      </c>
      <c r="C122" s="17"/>
      <c r="D122" s="20">
        <f>Control!$A121</f>
        <v>46125</v>
      </c>
      <c r="E122" s="20">
        <f>IFERROR(IF($G122-$F122&lt;0,Control!$A121+1,Control!$A121),Control!$A121)</f>
        <v>46126</v>
      </c>
      <c r="F122" s="23">
        <f>VLOOKUP(Control!$A121,Roster1!$B$8:$AF$39,Control!$C121,TRUE)</f>
        <v>0.66805555555555551</v>
      </c>
      <c r="G122" s="23">
        <f>VLOOKUP(Control!$A121,Roster1!$B$8:$AF$39,Control!$D121,TRUE)</f>
        <v>1.0416666666666666E-2</v>
      </c>
      <c r="H122" s="17" t="s">
        <v>73</v>
      </c>
      <c r="I122" s="17" t="s">
        <v>74</v>
      </c>
    </row>
    <row r="123" spans="1:9" x14ac:dyDescent="0.7">
      <c r="A123" s="19" t="str">
        <f>VLOOKUP(Control!A122,Roster1!$B$8:$AF$39,Control!B122,TRUE)</f>
        <v>SP</v>
      </c>
      <c r="B123" s="17" t="s">
        <v>75</v>
      </c>
      <c r="C123" s="17"/>
      <c r="D123" s="20">
        <f>Control!$A122</f>
        <v>46126</v>
      </c>
      <c r="E123" s="20">
        <f>IFERROR(IF($G123-$F123&lt;0,Control!$A122+1,Control!$A122),Control!$A122)</f>
        <v>46127</v>
      </c>
      <c r="F123" s="23">
        <f>VLOOKUP(Control!$A122,Roster1!$B$8:$AF$39,Control!$C122,TRUE)</f>
        <v>0.66527777777777775</v>
      </c>
      <c r="G123" s="23">
        <f>VLOOKUP(Control!$A122,Roster1!$B$8:$AF$39,Control!$D122,TRUE)</f>
        <v>8.1944444444444445E-2</v>
      </c>
      <c r="H123" s="17" t="s">
        <v>73</v>
      </c>
      <c r="I123" s="17" t="s">
        <v>74</v>
      </c>
    </row>
    <row r="124" spans="1:9" x14ac:dyDescent="0.7">
      <c r="A124" s="19" t="str">
        <f>VLOOKUP(Control!A123,Roster1!$B$8:$AF$39,Control!B123,TRUE)</f>
        <v>SP</v>
      </c>
      <c r="B124" s="17" t="s">
        <v>75</v>
      </c>
      <c r="C124" s="17"/>
      <c r="D124" s="20">
        <f>Control!$A123</f>
        <v>46127</v>
      </c>
      <c r="E124" s="20">
        <f>IFERROR(IF($G124-$F124&lt;0,Control!$A123+1,Control!$A123),Control!$A123)</f>
        <v>46128</v>
      </c>
      <c r="F124" s="23">
        <f>VLOOKUP(Control!$A123,Roster1!$B$8:$AF$39,Control!$C123,TRUE)</f>
        <v>0.66527777777777775</v>
      </c>
      <c r="G124" s="23">
        <f>VLOOKUP(Control!$A123,Roster1!$B$8:$AF$39,Control!$D123,TRUE)</f>
        <v>8.1944444444444445E-2</v>
      </c>
      <c r="H124" s="17" t="s">
        <v>73</v>
      </c>
      <c r="I124" s="17" t="s">
        <v>74</v>
      </c>
    </row>
    <row r="125" spans="1:9" x14ac:dyDescent="0.7">
      <c r="A125" s="19" t="str">
        <f>VLOOKUP(Control!A124,Roster1!$B$8:$AF$39,Control!B124,TRUE)</f>
        <v>CU  908</v>
      </c>
      <c r="B125" s="17" t="s">
        <v>75</v>
      </c>
      <c r="C125" s="17"/>
      <c r="D125" s="20">
        <f>Control!$A124</f>
        <v>46128</v>
      </c>
      <c r="E125" s="20">
        <f>IFERROR(IF($G125-$F125&lt;0,Control!$A124+1,Control!$A124),Control!$A124)</f>
        <v>46129</v>
      </c>
      <c r="F125" s="23">
        <f>VLOOKUP(Control!$A124,Roster1!$B$8:$AF$39,Control!$C124,TRUE)</f>
        <v>0.8208333333333333</v>
      </c>
      <c r="G125" s="23">
        <f>VLOOKUP(Control!$A124,Roster1!$B$8:$AF$39,Control!$D124,TRUE)</f>
        <v>0.16805555555555557</v>
      </c>
      <c r="H125" s="17" t="s">
        <v>73</v>
      </c>
      <c r="I125" s="17" t="s">
        <v>74</v>
      </c>
    </row>
    <row r="126" spans="1:9" x14ac:dyDescent="0.7">
      <c r="A126" s="19" t="str">
        <f>VLOOKUP(Control!A125,Roster1!$B$8:$AF$39,Control!B125,TRUE)</f>
        <v>CU  909</v>
      </c>
      <c r="B126" s="17" t="s">
        <v>75</v>
      </c>
      <c r="C126" s="17"/>
      <c r="D126" s="20">
        <f>Control!$A125</f>
        <v>46129</v>
      </c>
      <c r="E126" s="20">
        <f>IFERROR(IF($G126-$F126&lt;0,Control!$A125+1,Control!$A125),Control!$A125)</f>
        <v>46130</v>
      </c>
      <c r="F126" s="23">
        <f>VLOOKUP(Control!$A125,Roster1!$B$8:$AF$39,Control!$C125,TRUE)</f>
        <v>0.70972222222222225</v>
      </c>
      <c r="G126" s="23">
        <f>VLOOKUP(Control!$A125,Roster1!$B$8:$AF$39,Control!$D125,TRUE)</f>
        <v>9.0277777777777769E-3</v>
      </c>
      <c r="H126" s="17" t="s">
        <v>73</v>
      </c>
      <c r="I126" s="17" t="s">
        <v>74</v>
      </c>
    </row>
    <row r="127" spans="1:9" x14ac:dyDescent="0.7">
      <c r="A127" s="19" t="str">
        <f>VLOOKUP(Control!A126,Roster1!$B$8:$AF$39,Control!B126,TRUE)</f>
        <v>RD</v>
      </c>
      <c r="B127" s="17" t="s">
        <v>75</v>
      </c>
      <c r="C127" s="17"/>
      <c r="D127" s="20">
        <f>Control!$A126</f>
        <v>46130</v>
      </c>
      <c r="E127" s="20">
        <f>IFERROR(IF($G127-$F127&lt;0,Control!$A126+1,Control!$A126),Control!$A126)</f>
        <v>46130</v>
      </c>
      <c r="F127" s="23" t="str">
        <f>VLOOKUP(Control!$A126,Roster1!$B$8:$AF$39,Control!$C126,TRUE)</f>
        <v/>
      </c>
      <c r="G127" s="23" t="str">
        <f>VLOOKUP(Control!$A126,Roster1!$B$8:$AF$39,Control!$D126,TRUE)</f>
        <v/>
      </c>
      <c r="H127" s="17" t="s">
        <v>73</v>
      </c>
      <c r="I127" s="17" t="s">
        <v>74</v>
      </c>
    </row>
    <row r="128" spans="1:9" x14ac:dyDescent="0.7">
      <c r="A128" s="19" t="str">
        <f>VLOOKUP(Control!A127,Roster1!$B$8:$AF$39,Control!B127,TRUE)</f>
        <v>RD</v>
      </c>
      <c r="B128" s="17" t="s">
        <v>75</v>
      </c>
      <c r="C128" s="17"/>
      <c r="D128" s="20">
        <f>Control!$A127</f>
        <v>46131</v>
      </c>
      <c r="E128" s="20">
        <f>IFERROR(IF($G128-$F128&lt;0,Control!$A127+1,Control!$A127),Control!$A127)</f>
        <v>46131</v>
      </c>
      <c r="F128" s="23" t="str">
        <f>VLOOKUP(Control!$A127,Roster1!$B$8:$AF$39,Control!$C127,TRUE)</f>
        <v/>
      </c>
      <c r="G128" s="23" t="str">
        <f>VLOOKUP(Control!$A127,Roster1!$B$8:$AF$39,Control!$D127,TRUE)</f>
        <v/>
      </c>
      <c r="H128" s="17" t="s">
        <v>73</v>
      </c>
      <c r="I128" s="17" t="s">
        <v>74</v>
      </c>
    </row>
    <row r="129" spans="1:9" x14ac:dyDescent="0.7">
      <c r="A129" s="19" t="str">
        <f>VLOOKUP(Control!A128,Roster1!$B$8:$AF$39,Control!B128,TRUE)</f>
        <v>RD</v>
      </c>
      <c r="B129" s="17" t="s">
        <v>75</v>
      </c>
      <c r="C129" s="17"/>
      <c r="D129" s="20">
        <f>Control!$A128</f>
        <v>46132</v>
      </c>
      <c r="E129" s="20">
        <f>IFERROR(IF($G129-$F129&lt;0,Control!$A128+1,Control!$A128),Control!$A128)</f>
        <v>46132</v>
      </c>
      <c r="F129" s="23" t="str">
        <f>VLOOKUP(Control!$A128,Roster1!$B$8:$AF$39,Control!$C128,TRUE)</f>
        <v/>
      </c>
      <c r="G129" s="23" t="str">
        <f>VLOOKUP(Control!$A128,Roster1!$B$8:$AF$39,Control!$D128,TRUE)</f>
        <v/>
      </c>
      <c r="H129" s="17" t="s">
        <v>73</v>
      </c>
      <c r="I129" s="17" t="s">
        <v>74</v>
      </c>
    </row>
    <row r="130" spans="1:9" x14ac:dyDescent="0.7">
      <c r="A130" s="19" t="str">
        <f>VLOOKUP(Control!A129,Roster1!$B$8:$AF$39,Control!B129,TRUE)</f>
        <v>CU  902</v>
      </c>
      <c r="B130" s="17" t="s">
        <v>75</v>
      </c>
      <c r="C130" s="17"/>
      <c r="D130" s="20">
        <f>Control!$A129</f>
        <v>46133</v>
      </c>
      <c r="E130" s="20">
        <f>IFERROR(IF($G130-$F130&lt;0,Control!$A129+1,Control!$A129),Control!$A129)</f>
        <v>46133</v>
      </c>
      <c r="F130" s="23">
        <f>VLOOKUP(Control!$A129,Roster1!$B$8:$AF$39,Control!$C129,TRUE)</f>
        <v>0.24374999999999999</v>
      </c>
      <c r="G130" s="23">
        <f>VLOOKUP(Control!$A129,Roster1!$B$8:$AF$39,Control!$D129,TRUE)</f>
        <v>0.58263888888888893</v>
      </c>
      <c r="H130" s="17" t="s">
        <v>73</v>
      </c>
      <c r="I130" s="17" t="s">
        <v>74</v>
      </c>
    </row>
    <row r="131" spans="1:9" x14ac:dyDescent="0.7">
      <c r="A131" s="19" t="str">
        <f>VLOOKUP(Control!A130,Roster1!$B$8:$AF$39,Control!B130,TRUE)</f>
        <v>SP</v>
      </c>
      <c r="B131" s="17" t="s">
        <v>75</v>
      </c>
      <c r="C131" s="17"/>
      <c r="D131" s="20">
        <f>Control!$A130</f>
        <v>46134</v>
      </c>
      <c r="E131" s="20">
        <f>IFERROR(IF($G131-$F131&lt;0,Control!$A130+1,Control!$A130),Control!$A130)</f>
        <v>46134</v>
      </c>
      <c r="F131" s="23">
        <f>VLOOKUP(Control!$A130,Roster1!$B$8:$AF$39,Control!$C130,TRUE)</f>
        <v>0.18611111111111112</v>
      </c>
      <c r="G131" s="23">
        <f>VLOOKUP(Control!$A130,Roster1!$B$8:$AF$39,Control!$D130,TRUE)</f>
        <v>0.56111111111111112</v>
      </c>
      <c r="H131" s="17" t="s">
        <v>73</v>
      </c>
      <c r="I131" s="17" t="s">
        <v>74</v>
      </c>
    </row>
    <row r="132" spans="1:9" x14ac:dyDescent="0.7">
      <c r="A132" s="19" t="str">
        <f>VLOOKUP(Control!A131,Roster1!$B$8:$AF$39,Control!B131,TRUE)</f>
        <v>SP</v>
      </c>
      <c r="B132" s="17" t="s">
        <v>75</v>
      </c>
      <c r="C132" s="17"/>
      <c r="D132" s="20">
        <f>Control!$A131</f>
        <v>46135</v>
      </c>
      <c r="E132" s="20">
        <f>IFERROR(IF($G132-$F132&lt;0,Control!$A131+1,Control!$A131),Control!$A131)</f>
        <v>46135</v>
      </c>
      <c r="F132" s="23">
        <f>VLOOKUP(Control!$A131,Roster1!$B$8:$AF$39,Control!$C131,TRUE)</f>
        <v>0.33958333333333335</v>
      </c>
      <c r="G132" s="23">
        <f>VLOOKUP(Control!$A131,Roster1!$B$8:$AF$39,Control!$D131,TRUE)</f>
        <v>0.75624999999999998</v>
      </c>
      <c r="H132" s="17" t="s">
        <v>73</v>
      </c>
      <c r="I132" s="17" t="s">
        <v>74</v>
      </c>
    </row>
    <row r="133" spans="1:9" x14ac:dyDescent="0.7">
      <c r="A133" s="19" t="str">
        <f>VLOOKUP(Control!A132,Roster1!$B$8:$AF$39,Control!B132,TRUE)</f>
        <v>SP</v>
      </c>
      <c r="B133" s="17" t="s">
        <v>75</v>
      </c>
      <c r="C133" s="17"/>
      <c r="D133" s="20">
        <f>Control!$A132</f>
        <v>46136</v>
      </c>
      <c r="E133" s="20">
        <f>IFERROR(IF($G133-$F133&lt;0,Control!$A132+1,Control!$A132),Control!$A132)</f>
        <v>46136</v>
      </c>
      <c r="F133" s="23">
        <f>VLOOKUP(Control!$A132,Roster1!$B$8:$AF$39,Control!$C132,TRUE)</f>
        <v>0.33958333333333335</v>
      </c>
      <c r="G133" s="23">
        <f>VLOOKUP(Control!$A132,Roster1!$B$8:$AF$39,Control!$D132,TRUE)</f>
        <v>0.75624999999999998</v>
      </c>
      <c r="H133" s="17" t="s">
        <v>73</v>
      </c>
      <c r="I133" s="17" t="s">
        <v>74</v>
      </c>
    </row>
    <row r="134" spans="1:9" x14ac:dyDescent="0.7">
      <c r="A134" s="19" t="str">
        <f>VLOOKUP(Control!A133,Roster1!$B$8:$AF$39,Control!B133,TRUE)</f>
        <v>RD</v>
      </c>
      <c r="B134" s="17" t="s">
        <v>75</v>
      </c>
      <c r="C134" s="17"/>
      <c r="D134" s="20">
        <f>Control!$A133</f>
        <v>46137</v>
      </c>
      <c r="E134" s="20">
        <f>IFERROR(IF($G134-$F134&lt;0,Control!$A133+1,Control!$A133),Control!$A133)</f>
        <v>46137</v>
      </c>
      <c r="F134" s="23" t="str">
        <f>VLOOKUP(Control!$A133,Roster1!$B$8:$AF$39,Control!$C133,TRUE)</f>
        <v/>
      </c>
      <c r="G134" s="23" t="str">
        <f>VLOOKUP(Control!$A133,Roster1!$B$8:$AF$39,Control!$D133,TRUE)</f>
        <v/>
      </c>
      <c r="H134" s="17" t="s">
        <v>73</v>
      </c>
      <c r="I134" s="17" t="s">
        <v>74</v>
      </c>
    </row>
    <row r="135" spans="1:9" x14ac:dyDescent="0.7">
      <c r="A135" s="19" t="str">
        <f>VLOOKUP(Control!A134,Roster1!$B$8:$AF$39,Control!B134,TRUE)</f>
        <v>RD</v>
      </c>
      <c r="B135" s="17" t="s">
        <v>75</v>
      </c>
      <c r="C135" s="17"/>
      <c r="D135" s="20">
        <f>Control!$A134</f>
        <v>46138</v>
      </c>
      <c r="E135" s="20">
        <f>IFERROR(IF($G135-$F135&lt;0,Control!$A134+1,Control!$A134),Control!$A134)</f>
        <v>46138</v>
      </c>
      <c r="F135" s="23" t="str">
        <f>VLOOKUP(Control!$A134,Roster1!$B$8:$AF$39,Control!$C134,TRUE)</f>
        <v/>
      </c>
      <c r="G135" s="23" t="str">
        <f>VLOOKUP(Control!$A134,Roster1!$B$8:$AF$39,Control!$D134,TRUE)</f>
        <v/>
      </c>
      <c r="H135" s="17" t="s">
        <v>73</v>
      </c>
      <c r="I135" s="17" t="s">
        <v>74</v>
      </c>
    </row>
    <row r="136" spans="1:9" x14ac:dyDescent="0.7">
      <c r="A136" s="19" t="str">
        <f>VLOOKUP(Control!A135,Roster1!$B$8:$AF$39,Control!B135,TRUE)</f>
        <v>RD</v>
      </c>
      <c r="B136" s="17" t="s">
        <v>75</v>
      </c>
      <c r="C136" s="17"/>
      <c r="D136" s="20">
        <f>Control!$A135</f>
        <v>46139</v>
      </c>
      <c r="E136" s="20">
        <f>IFERROR(IF($G136-$F136&lt;0,Control!$A135+1,Control!$A135),Control!$A135)</f>
        <v>46139</v>
      </c>
      <c r="F136" s="23" t="str">
        <f>VLOOKUP(Control!$A135,Roster1!$B$8:$AF$39,Control!$C135,TRUE)</f>
        <v/>
      </c>
      <c r="G136" s="23" t="str">
        <f>VLOOKUP(Control!$A135,Roster1!$B$8:$AF$39,Control!$D135,TRUE)</f>
        <v/>
      </c>
      <c r="H136" s="17" t="s">
        <v>73</v>
      </c>
      <c r="I136" s="17" t="s">
        <v>74</v>
      </c>
    </row>
    <row r="137" spans="1:9" x14ac:dyDescent="0.7">
      <c r="A137" s="19" t="str">
        <f>VLOOKUP(Control!A136,Roster1!$B$8:$AF$39,Control!B136,TRUE)</f>
        <v>RD</v>
      </c>
      <c r="B137" s="17" t="s">
        <v>75</v>
      </c>
      <c r="C137" s="17"/>
      <c r="D137" s="20">
        <f>Control!$A136</f>
        <v>46140</v>
      </c>
      <c r="E137" s="20">
        <f>IFERROR(IF($G137-$F137&lt;0,Control!$A136+1,Control!$A136),Control!$A136)</f>
        <v>46140</v>
      </c>
      <c r="F137" s="23" t="str">
        <f>VLOOKUP(Control!$A136,Roster1!$B$8:$AF$39,Control!$C136,TRUE)</f>
        <v/>
      </c>
      <c r="G137" s="23" t="str">
        <f>VLOOKUP(Control!$A136,Roster1!$B$8:$AF$39,Control!$D136,TRUE)</f>
        <v/>
      </c>
      <c r="H137" s="17" t="s">
        <v>73</v>
      </c>
      <c r="I137" s="17" t="s">
        <v>74</v>
      </c>
    </row>
    <row r="138" spans="1:9" x14ac:dyDescent="0.7">
      <c r="A138" s="19" t="str">
        <f>VLOOKUP(Control!A137,Roster1!$B$8:$AF$39,Control!B137,TRUE)</f>
        <v>SP</v>
      </c>
      <c r="B138" s="17" t="s">
        <v>75</v>
      </c>
      <c r="C138" s="17"/>
      <c r="D138" s="20">
        <f>Control!$A137</f>
        <v>46141</v>
      </c>
      <c r="E138" s="20">
        <f>IFERROR(IF($G138-$F138&lt;0,Control!$A137+1,Control!$A137),Control!$A137)</f>
        <v>46141</v>
      </c>
      <c r="F138" s="23">
        <f>VLOOKUP(Control!$A137,Roster1!$B$8:$AF$39,Control!$C137,TRUE)</f>
        <v>0.54097222222222219</v>
      </c>
      <c r="G138" s="23">
        <f>VLOOKUP(Control!$A137,Roster1!$B$8:$AF$39,Control!$D137,TRUE)</f>
        <v>0.95763888888888893</v>
      </c>
      <c r="H138" s="17" t="s">
        <v>73</v>
      </c>
      <c r="I138" s="17" t="s">
        <v>74</v>
      </c>
    </row>
    <row r="139" spans="1:9" x14ac:dyDescent="0.7">
      <c r="A139" s="19" t="str">
        <f>VLOOKUP(Control!A138,Roster1!$B$8:$AF$39,Control!B138,TRUE)</f>
        <v>SP</v>
      </c>
      <c r="B139" s="17" t="s">
        <v>75</v>
      </c>
      <c r="C139" s="17"/>
      <c r="D139" s="20">
        <f>Control!$A138</f>
        <v>46142</v>
      </c>
      <c r="E139" s="20">
        <f>IFERROR(IF($G139-$F139&lt;0,Control!$A138+1,Control!$A138),Control!$A138)</f>
        <v>46142</v>
      </c>
      <c r="F139" s="23">
        <f>VLOOKUP(Control!$A138,Roster1!$B$8:$AF$39,Control!$C138,TRUE)</f>
        <v>0.54097222222222219</v>
      </c>
      <c r="G139" s="23">
        <f>VLOOKUP(Control!$A138,Roster1!$B$8:$AF$39,Control!$D138,TRUE)</f>
        <v>0.95763888888888893</v>
      </c>
      <c r="H139" s="17" t="s">
        <v>73</v>
      </c>
      <c r="I139" s="17" t="s">
        <v>74</v>
      </c>
    </row>
    <row r="140" spans="1:9" x14ac:dyDescent="0.7">
      <c r="A140" s="19" t="str">
        <f>VLOOKUP(Control!A139,Roster1!$B$8:$AF$39,Control!B139,TRUE)</f>
        <v>SP</v>
      </c>
      <c r="B140" s="17" t="s">
        <v>75</v>
      </c>
      <c r="C140" s="17"/>
      <c r="D140" s="20">
        <f>Control!$A139</f>
        <v>46143</v>
      </c>
      <c r="E140" s="20">
        <f>IFERROR(IF($G140-$F140&lt;0,Control!$A139+1,Control!$A139),Control!$A139)</f>
        <v>46144</v>
      </c>
      <c r="F140" s="23">
        <f>VLOOKUP(Control!$A139,Roster1!$B$8:$AF$39,Control!$C139,TRUE)</f>
        <v>0.78333333333333333</v>
      </c>
      <c r="G140" s="23">
        <f>VLOOKUP(Control!$A139,Roster1!$B$8:$AF$39,Control!$D139,TRUE)</f>
        <v>0.19999999999999998</v>
      </c>
      <c r="H140" s="17" t="s">
        <v>73</v>
      </c>
      <c r="I140" s="17" t="s">
        <v>74</v>
      </c>
    </row>
    <row r="141" spans="1:9" x14ac:dyDescent="0.7">
      <c r="A141" s="19" t="str">
        <f>VLOOKUP(Control!A140,Roster1!$B$8:$AF$39,Control!B140,TRUE)</f>
        <v>CU  1909</v>
      </c>
      <c r="B141" s="17" t="s">
        <v>75</v>
      </c>
      <c r="C141" s="17"/>
      <c r="D141" s="20">
        <f>Control!$A140</f>
        <v>46144</v>
      </c>
      <c r="E141" s="20">
        <f>IFERROR(IF($G141-$F141&lt;0,Control!$A140+1,Control!$A140),Control!$A140)</f>
        <v>46145</v>
      </c>
      <c r="F141" s="23">
        <f>VLOOKUP(Control!$A140,Roster1!$B$8:$AF$39,Control!$C140,TRUE)</f>
        <v>0.90138888888888891</v>
      </c>
      <c r="G141" s="23">
        <f>VLOOKUP(Control!$A140,Roster1!$B$8:$AF$39,Control!$D140,TRUE)</f>
        <v>0.23055555555555557</v>
      </c>
      <c r="H141" s="17" t="s">
        <v>73</v>
      </c>
      <c r="I141" s="17" t="s">
        <v>74</v>
      </c>
    </row>
    <row r="142" spans="1:9" x14ac:dyDescent="0.7">
      <c r="A142" s="19" t="str">
        <f>VLOOKUP(Control!A141,Roster1!$B$8:$AF$39,Control!B141,TRUE)</f>
        <v>CU  2907</v>
      </c>
      <c r="B142" s="17" t="s">
        <v>75</v>
      </c>
      <c r="C142" s="17"/>
      <c r="D142" s="20">
        <f>Control!$A141</f>
        <v>46145</v>
      </c>
      <c r="E142" s="20">
        <f>IFERROR(IF($G142-$F142&lt;0,Control!$A141+1,Control!$A141),Control!$A141)</f>
        <v>46146</v>
      </c>
      <c r="F142" s="23">
        <f>VLOOKUP(Control!$A141,Roster1!$B$8:$AF$39,Control!$C141,TRUE)</f>
        <v>0.75</v>
      </c>
      <c r="G142" s="23">
        <f>VLOOKUP(Control!$A141,Roster1!$B$8:$AF$39,Control!$D141,TRUE)</f>
        <v>0.05</v>
      </c>
      <c r="H142" s="17" t="s">
        <v>73</v>
      </c>
      <c r="I142" s="17" t="s">
        <v>74</v>
      </c>
    </row>
    <row r="143" spans="1:9" x14ac:dyDescent="0.7">
      <c r="A143" s="19" t="str">
        <f>VLOOKUP(Control!A142,Roster1!$B$8:$AF$39,Control!B142,TRUE)</f>
        <v>RD</v>
      </c>
      <c r="B143" s="17" t="s">
        <v>75</v>
      </c>
      <c r="C143" s="17"/>
      <c r="D143" s="20">
        <f>Control!$A142</f>
        <v>46146</v>
      </c>
      <c r="E143" s="20">
        <f>IFERROR(IF($G143-$F143&lt;0,Control!$A142+1,Control!$A142),Control!$A142)</f>
        <v>46146</v>
      </c>
      <c r="F143" s="23" t="str">
        <f>VLOOKUP(Control!$A142,Roster1!$B$8:$AF$39,Control!$C142,TRUE)</f>
        <v/>
      </c>
      <c r="G143" s="23" t="str">
        <f>VLOOKUP(Control!$A142,Roster1!$B$8:$AF$39,Control!$D142,TRUE)</f>
        <v/>
      </c>
      <c r="H143" s="17" t="s">
        <v>73</v>
      </c>
      <c r="I143" s="17" t="s">
        <v>74</v>
      </c>
    </row>
    <row r="144" spans="1:9" x14ac:dyDescent="0.7">
      <c r="A144" s="19" t="str">
        <f>VLOOKUP(Control!A143,Roster1!$B$8:$AF$39,Control!B143,TRUE)</f>
        <v>RD</v>
      </c>
      <c r="B144" s="17" t="s">
        <v>75</v>
      </c>
      <c r="C144" s="17"/>
      <c r="D144" s="20">
        <f>Control!$A143</f>
        <v>46147</v>
      </c>
      <c r="E144" s="20">
        <f>IFERROR(IF($G144-$F144&lt;0,Control!$A143+1,Control!$A143),Control!$A143)</f>
        <v>46147</v>
      </c>
      <c r="F144" s="23" t="str">
        <f>VLOOKUP(Control!$A143,Roster1!$B$8:$AF$39,Control!$C143,TRUE)</f>
        <v/>
      </c>
      <c r="G144" s="23" t="str">
        <f>VLOOKUP(Control!$A143,Roster1!$B$8:$AF$39,Control!$D143,TRUE)</f>
        <v/>
      </c>
      <c r="H144" s="17" t="s">
        <v>73</v>
      </c>
      <c r="I144" s="17" t="s">
        <v>74</v>
      </c>
    </row>
    <row r="145" spans="1:9" x14ac:dyDescent="0.7">
      <c r="A145" s="19" t="str">
        <f>VLOOKUP(Control!A144,Roster1!$B$8:$AF$39,Control!B144,TRUE)</f>
        <v>RD</v>
      </c>
      <c r="B145" s="17" t="s">
        <v>75</v>
      </c>
      <c r="C145" s="17"/>
      <c r="D145" s="20">
        <f>Control!$A144</f>
        <v>46148</v>
      </c>
      <c r="E145" s="20">
        <f>IFERROR(IF($G145-$F145&lt;0,Control!$A144+1,Control!$A144),Control!$A144)</f>
        <v>46148</v>
      </c>
      <c r="F145" s="23" t="str">
        <f>VLOOKUP(Control!$A144,Roster1!$B$8:$AF$39,Control!$C144,TRUE)</f>
        <v/>
      </c>
      <c r="G145" s="23" t="str">
        <f>VLOOKUP(Control!$A144,Roster1!$B$8:$AF$39,Control!$D144,TRUE)</f>
        <v/>
      </c>
      <c r="H145" s="17" t="s">
        <v>73</v>
      </c>
      <c r="I145" s="17" t="s">
        <v>74</v>
      </c>
    </row>
    <row r="146" spans="1:9" x14ac:dyDescent="0.7">
      <c r="A146" s="19" t="str">
        <f>VLOOKUP(Control!A145,Roster1!$B$8:$AF$39,Control!B145,TRUE)</f>
        <v>RD</v>
      </c>
      <c r="B146" s="17" t="s">
        <v>75</v>
      </c>
      <c r="C146" s="17"/>
      <c r="D146" s="20">
        <f>Control!$A145</f>
        <v>46149</v>
      </c>
      <c r="E146" s="20">
        <f>IFERROR(IF($G146-$F146&lt;0,Control!$A145+1,Control!$A145),Control!$A145)</f>
        <v>46149</v>
      </c>
      <c r="F146" s="23" t="str">
        <f>VLOOKUP(Control!$A145,Roster1!$B$8:$AF$39,Control!$C145,TRUE)</f>
        <v/>
      </c>
      <c r="G146" s="23" t="str">
        <f>VLOOKUP(Control!$A145,Roster1!$B$8:$AF$39,Control!$D145,TRUE)</f>
        <v/>
      </c>
      <c r="H146" s="17" t="s">
        <v>73</v>
      </c>
      <c r="I146" s="17" t="s">
        <v>74</v>
      </c>
    </row>
    <row r="147" spans="1:9" x14ac:dyDescent="0.7">
      <c r="A147" s="19" t="str">
        <f>VLOOKUP(Control!A146,Roster1!$B$8:$AF$39,Control!B146,TRUE)</f>
        <v>CU  901</v>
      </c>
      <c r="B147" s="17" t="s">
        <v>75</v>
      </c>
      <c r="C147" s="17"/>
      <c r="D147" s="20">
        <f>Control!$A146</f>
        <v>46150</v>
      </c>
      <c r="E147" s="20">
        <f>IFERROR(IF($G147-$F147&lt;0,Control!$A146+1,Control!$A146),Control!$A146)</f>
        <v>46150</v>
      </c>
      <c r="F147" s="23">
        <f>VLOOKUP(Control!$A146,Roster1!$B$8:$AF$39,Control!$C146,TRUE)</f>
        <v>0.19027777777777777</v>
      </c>
      <c r="G147" s="23">
        <f>VLOOKUP(Control!$A146,Roster1!$B$8:$AF$39,Control!$D146,TRUE)</f>
        <v>0.54097222222222219</v>
      </c>
      <c r="H147" s="17" t="s">
        <v>73</v>
      </c>
      <c r="I147" s="17" t="s">
        <v>74</v>
      </c>
    </row>
    <row r="148" spans="1:9" x14ac:dyDescent="0.7">
      <c r="A148" s="19" t="str">
        <f>VLOOKUP(Control!A147,Roster1!$B$8:$AF$39,Control!B147,TRUE)</f>
        <v>SP</v>
      </c>
      <c r="B148" s="17" t="s">
        <v>75</v>
      </c>
      <c r="C148" s="17"/>
      <c r="D148" s="20">
        <f>Control!$A147</f>
        <v>46151</v>
      </c>
      <c r="E148" s="20">
        <f>IFERROR(IF($G148-$F148&lt;0,Control!$A147+1,Control!$A147),Control!$A147)</f>
        <v>46151</v>
      </c>
      <c r="F148" s="23">
        <f>VLOOKUP(Control!$A147,Roster1!$B$8:$AF$39,Control!$C147,TRUE)</f>
        <v>0.18611111111111112</v>
      </c>
      <c r="G148" s="23">
        <f>VLOOKUP(Control!$A147,Roster1!$B$8:$AF$39,Control!$D147,TRUE)</f>
        <v>0.56111111111111112</v>
      </c>
      <c r="H148" s="17" t="s">
        <v>73</v>
      </c>
      <c r="I148" s="17" t="s">
        <v>74</v>
      </c>
    </row>
    <row r="149" spans="1:9" x14ac:dyDescent="0.7">
      <c r="A149" s="19" t="str">
        <f>VLOOKUP(Control!A148,Roster1!$B$8:$AF$39,Control!B148,TRUE)</f>
        <v>SP</v>
      </c>
      <c r="B149" s="17" t="s">
        <v>75</v>
      </c>
      <c r="C149" s="17"/>
      <c r="D149" s="20">
        <f>Control!$A148</f>
        <v>46152</v>
      </c>
      <c r="E149" s="20">
        <f>IFERROR(IF($G149-$F149&lt;0,Control!$A148+1,Control!$A148),Control!$A148)</f>
        <v>46152</v>
      </c>
      <c r="F149" s="23">
        <f>VLOOKUP(Control!$A148,Roster1!$B$8:$AF$39,Control!$C148,TRUE)</f>
        <v>0.30555555555555558</v>
      </c>
      <c r="G149" s="23">
        <f>VLOOKUP(Control!$A148,Roster1!$B$8:$AF$39,Control!$D148,TRUE)</f>
        <v>0.72222222222222221</v>
      </c>
      <c r="H149" s="17" t="s">
        <v>73</v>
      </c>
      <c r="I149" s="17" t="s">
        <v>74</v>
      </c>
    </row>
    <row r="150" spans="1:9" x14ac:dyDescent="0.7">
      <c r="A150" s="19" t="str">
        <f>VLOOKUP(Control!A149,Roster1!$B$8:$AF$39,Control!B149,TRUE)</f>
        <v>RR</v>
      </c>
      <c r="B150" s="17" t="s">
        <v>75</v>
      </c>
      <c r="C150" s="17"/>
      <c r="D150" s="20">
        <f>Control!$A149</f>
        <v>46153</v>
      </c>
      <c r="E150" s="20">
        <f>IFERROR(IF($G150-$F150&lt;0,Control!$A149+1,Control!$A149),Control!$A149)</f>
        <v>46153</v>
      </c>
      <c r="F150" s="23">
        <f>VLOOKUP(Control!$A149,Roster1!$B$8:$AF$39,Control!$C149,TRUE)</f>
        <v>0.3666666666666667</v>
      </c>
      <c r="G150" s="23">
        <f>VLOOKUP(Control!$A149,Roster1!$B$8:$AF$39,Control!$D149,TRUE)</f>
        <v>0.7416666666666667</v>
      </c>
      <c r="H150" s="17" t="s">
        <v>73</v>
      </c>
      <c r="I150" s="17" t="s">
        <v>74</v>
      </c>
    </row>
    <row r="151" spans="1:9" x14ac:dyDescent="0.7">
      <c r="A151" s="19" t="str">
        <f>VLOOKUP(Control!A150,Roster1!$B$8:$AF$39,Control!B150,TRUE)</f>
        <v>CU  903</v>
      </c>
      <c r="B151" s="17" t="s">
        <v>75</v>
      </c>
      <c r="C151" s="17"/>
      <c r="D151" s="20">
        <f>Control!$A150</f>
        <v>46154</v>
      </c>
      <c r="E151" s="20">
        <f>IFERROR(IF($G151-$F151&lt;0,Control!$A150+1,Control!$A150),Control!$A150)</f>
        <v>46154</v>
      </c>
      <c r="F151" s="23">
        <f>VLOOKUP(Control!$A150,Roster1!$B$8:$AF$39,Control!$C150,TRUE)</f>
        <v>0.28819444444444442</v>
      </c>
      <c r="G151" s="23">
        <f>VLOOKUP(Control!$A150,Roster1!$B$8:$AF$39,Control!$D150,TRUE)</f>
        <v>0.49930555555555556</v>
      </c>
      <c r="H151" s="17" t="s">
        <v>73</v>
      </c>
      <c r="I151" s="17" t="s">
        <v>74</v>
      </c>
    </row>
    <row r="152" spans="1:9" x14ac:dyDescent="0.7">
      <c r="A152" s="19" t="str">
        <f>VLOOKUP(Control!A151,Roster1!$B$8:$AF$39,Control!B151,TRUE)</f>
        <v>RD</v>
      </c>
      <c r="B152" s="17" t="s">
        <v>75</v>
      </c>
      <c r="C152" s="17"/>
      <c r="D152" s="20">
        <f>Control!$A151</f>
        <v>46155</v>
      </c>
      <c r="E152" s="20">
        <f>IFERROR(IF($G152-$F152&lt;0,Control!$A151+1,Control!$A151),Control!$A151)</f>
        <v>46155</v>
      </c>
      <c r="F152" s="23" t="str">
        <f>VLOOKUP(Control!$A151,Roster1!$B$8:$AF$39,Control!$C151,TRUE)</f>
        <v/>
      </c>
      <c r="G152" s="23" t="str">
        <f>VLOOKUP(Control!$A151,Roster1!$B$8:$AF$39,Control!$D151,TRUE)</f>
        <v/>
      </c>
      <c r="H152" s="17" t="s">
        <v>73</v>
      </c>
      <c r="I152" s="17" t="s">
        <v>74</v>
      </c>
    </row>
    <row r="153" spans="1:9" x14ac:dyDescent="0.7">
      <c r="A153" s="19" t="str">
        <f>VLOOKUP(Control!A152,Roster1!$B$8:$AF$39,Control!B152,TRUE)</f>
        <v>RD</v>
      </c>
      <c r="B153" s="17" t="s">
        <v>75</v>
      </c>
      <c r="C153" s="17"/>
      <c r="D153" s="20">
        <f>Control!$A152</f>
        <v>46156</v>
      </c>
      <c r="E153" s="20">
        <f>IFERROR(IF($G153-$F153&lt;0,Control!$A152+1,Control!$A152),Control!$A152)</f>
        <v>46156</v>
      </c>
      <c r="F153" s="23" t="str">
        <f>VLOOKUP(Control!$A152,Roster1!$B$8:$AF$39,Control!$C152,TRUE)</f>
        <v/>
      </c>
      <c r="G153" s="23" t="str">
        <f>VLOOKUP(Control!$A152,Roster1!$B$8:$AF$39,Control!$D152,TRUE)</f>
        <v/>
      </c>
      <c r="H153" s="17" t="s">
        <v>73</v>
      </c>
      <c r="I153" s="17" t="s">
        <v>74</v>
      </c>
    </row>
    <row r="154" spans="1:9" x14ac:dyDescent="0.7">
      <c r="A154" s="19" t="str">
        <f>VLOOKUP(Control!A153,Roster1!$B$8:$AF$39,Control!B153,TRUE)</f>
        <v>RD</v>
      </c>
      <c r="B154" s="17" t="s">
        <v>75</v>
      </c>
      <c r="C154" s="17"/>
      <c r="D154" s="20">
        <f>Control!$A153</f>
        <v>46157</v>
      </c>
      <c r="E154" s="20">
        <f>IFERROR(IF($G154-$F154&lt;0,Control!$A153+1,Control!$A153),Control!$A153)</f>
        <v>46157</v>
      </c>
      <c r="F154" s="23" t="str">
        <f>VLOOKUP(Control!$A153,Roster1!$B$8:$AF$39,Control!$C153,TRUE)</f>
        <v/>
      </c>
      <c r="G154" s="23" t="str">
        <f>VLOOKUP(Control!$A153,Roster1!$B$8:$AF$39,Control!$D153,TRUE)</f>
        <v/>
      </c>
      <c r="H154" s="17" t="s">
        <v>73</v>
      </c>
      <c r="I154" s="17" t="s">
        <v>74</v>
      </c>
    </row>
    <row r="155" spans="1:9" x14ac:dyDescent="0.7">
      <c r="A155" s="19" t="str">
        <f>VLOOKUP(Control!A154,Roster1!$B$8:$AF$39,Control!B154,TRUE)</f>
        <v>SP</v>
      </c>
      <c r="B155" s="17" t="s">
        <v>75</v>
      </c>
      <c r="C155" s="17"/>
      <c r="D155" s="20">
        <f>Control!$A154</f>
        <v>46158</v>
      </c>
      <c r="E155" s="20">
        <f>IFERROR(IF($G155-$F155&lt;0,Control!$A154+1,Control!$A154),Control!$A154)</f>
        <v>46159</v>
      </c>
      <c r="F155" s="23">
        <f>VLOOKUP(Control!$A154,Roster1!$B$8:$AF$39,Control!$C154,TRUE)</f>
        <v>0.625</v>
      </c>
      <c r="G155" s="23">
        <f>VLOOKUP(Control!$A154,Roster1!$B$8:$AF$39,Control!$D154,TRUE)</f>
        <v>4.1666666666666664E-2</v>
      </c>
      <c r="H155" s="17" t="s">
        <v>73</v>
      </c>
      <c r="I155" s="17" t="s">
        <v>74</v>
      </c>
    </row>
    <row r="156" spans="1:9" x14ac:dyDescent="0.7">
      <c r="A156" s="19" t="str">
        <f>VLOOKUP(Control!A155,Roster1!$B$8:$AF$39,Control!B155,TRUE)</f>
        <v>SP</v>
      </c>
      <c r="B156" s="17" t="s">
        <v>75</v>
      </c>
      <c r="C156" s="17"/>
      <c r="D156" s="20">
        <f>Control!$A155</f>
        <v>46159</v>
      </c>
      <c r="E156" s="20">
        <f>IFERROR(IF($G156-$F156&lt;0,Control!$A155+1,Control!$A155),Control!$A155)</f>
        <v>46160</v>
      </c>
      <c r="F156" s="23">
        <f>VLOOKUP(Control!$A155,Roster1!$B$8:$AF$39,Control!$C155,TRUE)</f>
        <v>0.58333333333333337</v>
      </c>
      <c r="G156" s="23">
        <f>VLOOKUP(Control!$A155,Roster1!$B$8:$AF$39,Control!$D155,TRUE)</f>
        <v>0</v>
      </c>
      <c r="H156" s="17" t="s">
        <v>73</v>
      </c>
      <c r="I156" s="17" t="s">
        <v>74</v>
      </c>
    </row>
    <row r="157" spans="1:9" x14ac:dyDescent="0.7">
      <c r="A157" s="19" t="str">
        <f>VLOOKUP(Control!A156,Roster1!$B$8:$AF$39,Control!B156,TRUE)</f>
        <v>SP</v>
      </c>
      <c r="B157" s="17" t="s">
        <v>75</v>
      </c>
      <c r="C157" s="17"/>
      <c r="D157" s="20">
        <f>Control!$A156</f>
        <v>46160</v>
      </c>
      <c r="E157" s="20">
        <f>IFERROR(IF($G157-$F157&lt;0,Control!$A156+1,Control!$A156),Control!$A156)</f>
        <v>46160</v>
      </c>
      <c r="F157" s="23">
        <f>VLOOKUP(Control!$A156,Roster1!$B$8:$AF$39,Control!$C156,TRUE)</f>
        <v>0.58124999999999993</v>
      </c>
      <c r="G157" s="23">
        <f>VLOOKUP(Control!$A156,Roster1!$B$8:$AF$39,Control!$D156,TRUE)</f>
        <v>0.99791666666666667</v>
      </c>
      <c r="H157" s="17" t="s">
        <v>73</v>
      </c>
      <c r="I157" s="17" t="s">
        <v>74</v>
      </c>
    </row>
    <row r="158" spans="1:9" x14ac:dyDescent="0.7">
      <c r="A158" s="19" t="str">
        <f>VLOOKUP(Control!A157,Roster1!$B$8:$AF$39,Control!B157,TRUE)</f>
        <v>SP</v>
      </c>
      <c r="B158" s="17" t="s">
        <v>75</v>
      </c>
      <c r="C158" s="17"/>
      <c r="D158" s="20">
        <f>Control!$A157</f>
        <v>46161</v>
      </c>
      <c r="E158" s="20">
        <f>IFERROR(IF($G158-$F158&lt;0,Control!$A157+1,Control!$A157),Control!$A157)</f>
        <v>46161</v>
      </c>
      <c r="F158" s="23">
        <f>VLOOKUP(Control!$A157,Roster1!$B$8:$AF$39,Control!$C157,TRUE)</f>
        <v>0.58124999999999993</v>
      </c>
      <c r="G158" s="23">
        <f>VLOOKUP(Control!$A157,Roster1!$B$8:$AF$39,Control!$D157,TRUE)</f>
        <v>0.99791666666666667</v>
      </c>
      <c r="H158" s="17" t="s">
        <v>73</v>
      </c>
      <c r="I158" s="17" t="s">
        <v>74</v>
      </c>
    </row>
    <row r="159" spans="1:9" x14ac:dyDescent="0.7">
      <c r="A159" s="19" t="str">
        <f>VLOOKUP(Control!A158,Roster1!$B$8:$AF$39,Control!B158,TRUE)</f>
        <v>CU  905</v>
      </c>
      <c r="B159" s="17" t="s">
        <v>75</v>
      </c>
      <c r="C159" s="17"/>
      <c r="D159" s="20">
        <f>Control!$A158</f>
        <v>46162</v>
      </c>
      <c r="E159" s="20">
        <f>IFERROR(IF($G159-$F159&lt;0,Control!$A158+1,Control!$A158),Control!$A158)</f>
        <v>46162</v>
      </c>
      <c r="F159" s="23">
        <f>VLOOKUP(Control!$A158,Roster1!$B$8:$AF$39,Control!$C158,TRUE)</f>
        <v>0.58333333333333337</v>
      </c>
      <c r="G159" s="23">
        <f>VLOOKUP(Control!$A158,Roster1!$B$8:$AF$39,Control!$D158,TRUE)</f>
        <v>0.98124999999999996</v>
      </c>
      <c r="H159" s="17" t="s">
        <v>73</v>
      </c>
      <c r="I159" s="17" t="s">
        <v>74</v>
      </c>
    </row>
    <row r="160" spans="1:9" x14ac:dyDescent="0.7">
      <c r="A160" s="19" t="str">
        <f>VLOOKUP(Control!A159,Roster1!$B$8:$AF$39,Control!B159,TRUE)</f>
        <v>CU  907</v>
      </c>
      <c r="B160" s="17" t="s">
        <v>75</v>
      </c>
      <c r="C160" s="17"/>
      <c r="D160" s="20">
        <f>Control!$A159</f>
        <v>46163</v>
      </c>
      <c r="E160" s="20">
        <f>IFERROR(IF($G160-$F160&lt;0,Control!$A159+1,Control!$A159),Control!$A159)</f>
        <v>46163</v>
      </c>
      <c r="F160" s="23">
        <f>VLOOKUP(Control!$A159,Roster1!$B$8:$AF$39,Control!$C159,TRUE)</f>
        <v>0.5</v>
      </c>
      <c r="G160" s="23">
        <f>VLOOKUP(Control!$A159,Roster1!$B$8:$AF$39,Control!$D159,TRUE)</f>
        <v>0.70833333333333337</v>
      </c>
      <c r="H160" s="17" t="s">
        <v>73</v>
      </c>
      <c r="I160" s="17" t="s">
        <v>74</v>
      </c>
    </row>
    <row r="161" spans="1:9" x14ac:dyDescent="0.7">
      <c r="A161" s="19" t="str">
        <f>VLOOKUP(Control!A160,Roster1!$B$8:$AF$39,Control!B160,TRUE)</f>
        <v>RD</v>
      </c>
      <c r="B161" s="17" t="s">
        <v>75</v>
      </c>
      <c r="C161" s="17"/>
      <c r="D161" s="20">
        <f>Control!$A160</f>
        <v>46164</v>
      </c>
      <c r="E161" s="20">
        <f>IFERROR(IF($G161-$F161&lt;0,Control!$A160+1,Control!$A160),Control!$A160)</f>
        <v>46164</v>
      </c>
      <c r="F161" s="23" t="str">
        <f>VLOOKUP(Control!$A160,Roster1!$B$8:$AF$39,Control!$C160,TRUE)</f>
        <v/>
      </c>
      <c r="G161" s="23" t="str">
        <f>VLOOKUP(Control!$A160,Roster1!$B$8:$AF$39,Control!$D160,TRUE)</f>
        <v/>
      </c>
      <c r="H161" s="17" t="s">
        <v>73</v>
      </c>
      <c r="I161" s="17" t="s">
        <v>74</v>
      </c>
    </row>
    <row r="162" spans="1:9" x14ac:dyDescent="0.7">
      <c r="A162" s="19" t="str">
        <f>VLOOKUP(Control!A161,Roster1!$B$8:$AF$39,Control!B161,TRUE)</f>
        <v>RD</v>
      </c>
      <c r="B162" s="17" t="s">
        <v>75</v>
      </c>
      <c r="C162" s="17"/>
      <c r="D162" s="20">
        <f>Control!$A161</f>
        <v>46165</v>
      </c>
      <c r="E162" s="20">
        <f>IFERROR(IF($G162-$F162&lt;0,Control!$A161+1,Control!$A161),Control!$A161)</f>
        <v>46165</v>
      </c>
      <c r="F162" s="23" t="str">
        <f>VLOOKUP(Control!$A161,Roster1!$B$8:$AF$39,Control!$C161,TRUE)</f>
        <v/>
      </c>
      <c r="G162" s="23" t="str">
        <f>VLOOKUP(Control!$A161,Roster1!$B$8:$AF$39,Control!$D161,TRUE)</f>
        <v/>
      </c>
      <c r="H162" s="17" t="s">
        <v>73</v>
      </c>
      <c r="I162" s="17" t="s">
        <v>74</v>
      </c>
    </row>
    <row r="163" spans="1:9" x14ac:dyDescent="0.7">
      <c r="A163" s="19" t="str">
        <f>VLOOKUP(Control!A162,Roster1!$B$8:$AF$39,Control!B162,TRUE)</f>
        <v>RD</v>
      </c>
      <c r="B163" s="17" t="s">
        <v>75</v>
      </c>
      <c r="C163" s="17"/>
      <c r="D163" s="20">
        <f>Control!$A162</f>
        <v>46166</v>
      </c>
      <c r="E163" s="20">
        <f>IFERROR(IF($G163-$F163&lt;0,Control!$A162+1,Control!$A162),Control!$A162)</f>
        <v>46166</v>
      </c>
      <c r="F163" s="23" t="str">
        <f>VLOOKUP(Control!$A162,Roster1!$B$8:$AF$39,Control!$C162,TRUE)</f>
        <v/>
      </c>
      <c r="G163" s="23" t="str">
        <f>VLOOKUP(Control!$A162,Roster1!$B$8:$AF$39,Control!$D162,TRUE)</f>
        <v/>
      </c>
      <c r="H163" s="17" t="s">
        <v>73</v>
      </c>
      <c r="I163" s="17" t="s">
        <v>74</v>
      </c>
    </row>
    <row r="164" spans="1:9" x14ac:dyDescent="0.7">
      <c r="A164" s="19" t="str">
        <f>VLOOKUP(Control!A163,Roster1!$B$8:$AF$39,Control!B163,TRUE)</f>
        <v>RD</v>
      </c>
      <c r="B164" s="17" t="s">
        <v>75</v>
      </c>
      <c r="C164" s="17"/>
      <c r="D164" s="20">
        <f>Control!$A163</f>
        <v>46167</v>
      </c>
      <c r="E164" s="20">
        <f>IFERROR(IF($G164-$F164&lt;0,Control!$A163+1,Control!$A163),Control!$A163)</f>
        <v>46167</v>
      </c>
      <c r="F164" s="23" t="str">
        <f>VLOOKUP(Control!$A163,Roster1!$B$8:$AF$39,Control!$C163,TRUE)</f>
        <v/>
      </c>
      <c r="G164" s="23" t="str">
        <f>VLOOKUP(Control!$A163,Roster1!$B$8:$AF$39,Control!$D163,TRUE)</f>
        <v/>
      </c>
      <c r="H164" s="17" t="s">
        <v>73</v>
      </c>
      <c r="I164" s="17" t="s">
        <v>74</v>
      </c>
    </row>
    <row r="165" spans="1:9" x14ac:dyDescent="0.7">
      <c r="A165" s="19" t="str">
        <f>VLOOKUP(Control!A164,Roster1!$B$8:$AF$39,Control!B164,TRUE)</f>
        <v>CU  901</v>
      </c>
      <c r="B165" s="17" t="s">
        <v>75</v>
      </c>
      <c r="C165" s="17"/>
      <c r="D165" s="20">
        <f>Control!$A164</f>
        <v>46168</v>
      </c>
      <c r="E165" s="20">
        <f>IFERROR(IF($G165-$F165&lt;0,Control!$A164+1,Control!$A164),Control!$A164)</f>
        <v>46168</v>
      </c>
      <c r="F165" s="23">
        <f>VLOOKUP(Control!$A164,Roster1!$B$8:$AF$39,Control!$C164,TRUE)</f>
        <v>0.19027777777777777</v>
      </c>
      <c r="G165" s="23">
        <f>VLOOKUP(Control!$A164,Roster1!$B$8:$AF$39,Control!$D164,TRUE)</f>
        <v>0.54097222222222219</v>
      </c>
      <c r="H165" s="17" t="s">
        <v>73</v>
      </c>
      <c r="I165" s="17" t="s">
        <v>74</v>
      </c>
    </row>
    <row r="166" spans="1:9" x14ac:dyDescent="0.7">
      <c r="A166" s="19" t="str">
        <f>VLOOKUP(Control!A165,Roster1!$B$8:$AF$39,Control!B165,TRUE)</f>
        <v>CU  902</v>
      </c>
      <c r="B166" s="17" t="s">
        <v>75</v>
      </c>
      <c r="C166" s="17"/>
      <c r="D166" s="20">
        <f>Control!$A165</f>
        <v>46169</v>
      </c>
      <c r="E166" s="20">
        <f>IFERROR(IF($G166-$F166&lt;0,Control!$A165+1,Control!$A165),Control!$A165)</f>
        <v>46169</v>
      </c>
      <c r="F166" s="23">
        <f>VLOOKUP(Control!$A165,Roster1!$B$8:$AF$39,Control!$C165,TRUE)</f>
        <v>0.24374999999999999</v>
      </c>
      <c r="G166" s="23">
        <f>VLOOKUP(Control!$A165,Roster1!$B$8:$AF$39,Control!$D165,TRUE)</f>
        <v>0.58263888888888893</v>
      </c>
      <c r="H166" s="17" t="s">
        <v>73</v>
      </c>
      <c r="I166" s="17" t="s">
        <v>74</v>
      </c>
    </row>
    <row r="167" spans="1:9" x14ac:dyDescent="0.7">
      <c r="A167" s="19" t="str">
        <f>VLOOKUP(Control!A166,Roster1!$B$8:$AF$39,Control!B166,TRUE)</f>
        <v>SP</v>
      </c>
      <c r="B167" s="17" t="s">
        <v>75</v>
      </c>
      <c r="C167" s="17"/>
      <c r="D167" s="20">
        <f>Control!$A166</f>
        <v>46170</v>
      </c>
      <c r="E167" s="20">
        <f>IFERROR(IF($G167-$F167&lt;0,Control!$A166+1,Control!$A166),Control!$A166)</f>
        <v>46170</v>
      </c>
      <c r="F167" s="23">
        <f>VLOOKUP(Control!$A166,Roster1!$B$8:$AF$39,Control!$C166,TRUE)</f>
        <v>0.24166666666666667</v>
      </c>
      <c r="G167" s="23">
        <f>VLOOKUP(Control!$A166,Roster1!$B$8:$AF$39,Control!$D166,TRUE)</f>
        <v>0.65833333333333333</v>
      </c>
      <c r="H167" s="17" t="s">
        <v>73</v>
      </c>
      <c r="I167" s="17" t="s">
        <v>74</v>
      </c>
    </row>
    <row r="168" spans="1:9" x14ac:dyDescent="0.7">
      <c r="A168" s="19" t="str">
        <f>VLOOKUP(Control!A167,Roster1!$B$8:$AF$39,Control!B167,TRUE)</f>
        <v>SP</v>
      </c>
      <c r="B168" s="17" t="s">
        <v>75</v>
      </c>
      <c r="C168" s="17"/>
      <c r="D168" s="20">
        <f>Control!$A167</f>
        <v>46171</v>
      </c>
      <c r="E168" s="20">
        <f>IFERROR(IF($G168-$F168&lt;0,Control!$A167+1,Control!$A167),Control!$A167)</f>
        <v>46171</v>
      </c>
      <c r="F168" s="23">
        <f>VLOOKUP(Control!$A167,Roster1!$B$8:$AF$39,Control!$C167,TRUE)</f>
        <v>0.18611111111111112</v>
      </c>
      <c r="G168" s="23">
        <f>VLOOKUP(Control!$A167,Roster1!$B$8:$AF$39,Control!$D167,TRUE)</f>
        <v>0.56111111111111112</v>
      </c>
      <c r="H168" s="17" t="s">
        <v>73</v>
      </c>
      <c r="I168" s="17" t="s">
        <v>74</v>
      </c>
    </row>
    <row r="169" spans="1:9" x14ac:dyDescent="0.7">
      <c r="A169" s="19" t="str">
        <f>VLOOKUP(Control!A168,Roster1!$B$8:$AF$39,Control!B168,TRUE)</f>
        <v>CU  1903</v>
      </c>
      <c r="B169" s="17" t="s">
        <v>75</v>
      </c>
      <c r="C169" s="17"/>
      <c r="D169" s="20">
        <f>Control!$A168</f>
        <v>46172</v>
      </c>
      <c r="E169" s="20">
        <f>IFERROR(IF($G169-$F169&lt;0,Control!$A168+1,Control!$A168),Control!$A168)</f>
        <v>46172</v>
      </c>
      <c r="F169" s="23">
        <f>VLOOKUP(Control!$A168,Roster1!$B$8:$AF$39,Control!$C168,TRUE)</f>
        <v>0.28819444444444442</v>
      </c>
      <c r="G169" s="23">
        <f>VLOOKUP(Control!$A168,Roster1!$B$8:$AF$39,Control!$D168,TRUE)</f>
        <v>0.49930555555555556</v>
      </c>
      <c r="H169" s="17" t="s">
        <v>73</v>
      </c>
      <c r="I169" s="17" t="s">
        <v>74</v>
      </c>
    </row>
    <row r="170" spans="1:9" x14ac:dyDescent="0.7">
      <c r="A170" s="19" t="str">
        <f>VLOOKUP(Control!A169,Roster1!$B$8:$AF$39,Control!B169,TRUE)</f>
        <v>RD</v>
      </c>
      <c r="B170" s="17" t="s">
        <v>75</v>
      </c>
      <c r="C170" s="17"/>
      <c r="D170" s="20">
        <f>Control!$A169</f>
        <v>46173</v>
      </c>
      <c r="E170" s="20">
        <f>IFERROR(IF($G170-$F170&lt;0,Control!$A169+1,Control!$A169),Control!$A169)</f>
        <v>46173</v>
      </c>
      <c r="F170" s="23" t="str">
        <f>VLOOKUP(Control!$A169,Roster1!$B$8:$AF$39,Control!$C169,TRUE)</f>
        <v/>
      </c>
      <c r="G170" s="23" t="str">
        <f>VLOOKUP(Control!$A169,Roster1!$B$8:$AF$39,Control!$D169,TRUE)</f>
        <v/>
      </c>
      <c r="H170" s="17" t="s">
        <v>73</v>
      </c>
      <c r="I170" s="17" t="s">
        <v>74</v>
      </c>
    </row>
    <row r="171" spans="1:9" x14ac:dyDescent="0.7">
      <c r="A171" s="19" t="str">
        <f>VLOOKUP(Control!A170,Roster1!$B$8:$AF$39,Control!B170,TRUE)</f>
        <v>RD</v>
      </c>
      <c r="B171" s="17" t="s">
        <v>75</v>
      </c>
      <c r="C171" s="17"/>
      <c r="D171" s="20">
        <f>Control!$A170</f>
        <v>46174</v>
      </c>
      <c r="E171" s="20">
        <f>IFERROR(IF($G171-$F171&lt;0,Control!$A170+1,Control!$A170),Control!$A170)</f>
        <v>46174</v>
      </c>
      <c r="F171" s="23" t="str">
        <f>VLOOKUP(Control!$A170,Roster1!$B$8:$AF$39,Control!$C170,TRUE)</f>
        <v/>
      </c>
      <c r="G171" s="23" t="str">
        <f>VLOOKUP(Control!$A170,Roster1!$B$8:$AF$39,Control!$D170,TRUE)</f>
        <v/>
      </c>
      <c r="H171" s="17" t="s">
        <v>73</v>
      </c>
      <c r="I171" s="17" t="s">
        <v>74</v>
      </c>
    </row>
    <row r="172" spans="1:9" x14ac:dyDescent="0.7">
      <c r="A172" s="19" t="str">
        <f>VLOOKUP(Control!A171,Roster1!$B$8:$AF$39,Control!B171,TRUE)</f>
        <v>RD</v>
      </c>
      <c r="B172" s="17" t="s">
        <v>75</v>
      </c>
      <c r="C172" s="17"/>
      <c r="D172" s="20">
        <f>Control!$A171</f>
        <v>46175</v>
      </c>
      <c r="E172" s="20">
        <f>IFERROR(IF($G172-$F172&lt;0,Control!$A171+1,Control!$A171),Control!$A171)</f>
        <v>46175</v>
      </c>
      <c r="F172" s="23" t="str">
        <f>VLOOKUP(Control!$A171,Roster1!$B$8:$AF$39,Control!$C171,TRUE)</f>
        <v/>
      </c>
      <c r="G172" s="23" t="str">
        <f>VLOOKUP(Control!$A171,Roster1!$B$8:$AF$39,Control!$D171,TRUE)</f>
        <v/>
      </c>
      <c r="H172" s="17" t="s">
        <v>73</v>
      </c>
      <c r="I172" s="17" t="s">
        <v>74</v>
      </c>
    </row>
    <row r="173" spans="1:9" x14ac:dyDescent="0.7">
      <c r="A173" s="19" t="str">
        <f>VLOOKUP(Control!A172,Roster1!$B$8:$AF$39,Control!B172,TRUE)</f>
        <v>RD</v>
      </c>
      <c r="B173" s="17" t="s">
        <v>75</v>
      </c>
      <c r="C173" s="17"/>
      <c r="D173" s="20">
        <f>Control!$A172</f>
        <v>46176</v>
      </c>
      <c r="E173" s="20">
        <f>IFERROR(IF($G173-$F173&lt;0,Control!$A172+1,Control!$A172),Control!$A172)</f>
        <v>46176</v>
      </c>
      <c r="F173" s="23" t="str">
        <f>VLOOKUP(Control!$A172,Roster1!$B$8:$AF$39,Control!$C172,TRUE)</f>
        <v/>
      </c>
      <c r="G173" s="23" t="str">
        <f>VLOOKUP(Control!$A172,Roster1!$B$8:$AF$39,Control!$D172,TRUE)</f>
        <v/>
      </c>
      <c r="H173" s="17" t="s">
        <v>73</v>
      </c>
      <c r="I173" s="17" t="s">
        <v>74</v>
      </c>
    </row>
    <row r="174" spans="1:9" x14ac:dyDescent="0.7">
      <c r="A174" s="19" t="str">
        <f>VLOOKUP(Control!A173,Roster1!$B$8:$AF$39,Control!B173,TRUE)</f>
        <v>SP</v>
      </c>
      <c r="B174" s="17" t="s">
        <v>75</v>
      </c>
      <c r="C174" s="17"/>
      <c r="D174" s="20">
        <f>Control!$A173</f>
        <v>46177</v>
      </c>
      <c r="E174" s="20">
        <f>IFERROR(IF($G174-$F174&lt;0,Control!$A173+1,Control!$A173),Control!$A173)</f>
        <v>46177</v>
      </c>
      <c r="F174" s="23">
        <f>VLOOKUP(Control!$A173,Roster1!$B$8:$AF$39,Control!$C173,TRUE)</f>
        <v>0.5</v>
      </c>
      <c r="G174" s="23">
        <f>VLOOKUP(Control!$A173,Roster1!$B$8:$AF$39,Control!$D173,TRUE)</f>
        <v>0.91666666666666663</v>
      </c>
      <c r="H174" s="17" t="s">
        <v>73</v>
      </c>
      <c r="I174" s="17" t="s">
        <v>74</v>
      </c>
    </row>
    <row r="175" spans="1:9" x14ac:dyDescent="0.7">
      <c r="A175" s="19" t="str">
        <f>VLOOKUP(Control!A174,Roster1!$B$8:$AF$39,Control!B174,TRUE)</f>
        <v>SP</v>
      </c>
      <c r="B175" s="17" t="s">
        <v>75</v>
      </c>
      <c r="C175" s="17"/>
      <c r="D175" s="20">
        <f>Control!$A174</f>
        <v>46178</v>
      </c>
      <c r="E175" s="20">
        <f>IFERROR(IF($G175-$F175&lt;0,Control!$A174+1,Control!$A174),Control!$A174)</f>
        <v>46178</v>
      </c>
      <c r="F175" s="23">
        <f>VLOOKUP(Control!$A174,Roster1!$B$8:$AF$39,Control!$C174,TRUE)</f>
        <v>0.5</v>
      </c>
      <c r="G175" s="23">
        <f>VLOOKUP(Control!$A174,Roster1!$B$8:$AF$39,Control!$D174,TRUE)</f>
        <v>0.91666666666666663</v>
      </c>
      <c r="H175" s="17" t="s">
        <v>73</v>
      </c>
      <c r="I175" s="17" t="s">
        <v>74</v>
      </c>
    </row>
    <row r="176" spans="1:9" x14ac:dyDescent="0.7">
      <c r="A176" s="19" t="str">
        <f>VLOOKUP(Control!A175,Roster1!$B$8:$AF$39,Control!B175,TRUE)</f>
        <v>SP</v>
      </c>
      <c r="B176" s="17" t="s">
        <v>75</v>
      </c>
      <c r="C176" s="17"/>
      <c r="D176" s="20">
        <f>Control!$A175</f>
        <v>46179</v>
      </c>
      <c r="E176" s="20">
        <f>IFERROR(IF($G176-$F176&lt;0,Control!$A175+1,Control!$A175),Control!$A175)</f>
        <v>46179</v>
      </c>
      <c r="F176" s="23">
        <f>VLOOKUP(Control!$A175,Roster1!$B$8:$AF$39,Control!$C175,TRUE)</f>
        <v>0.5</v>
      </c>
      <c r="G176" s="23">
        <f>VLOOKUP(Control!$A175,Roster1!$B$8:$AF$39,Control!$D175,TRUE)</f>
        <v>0.91666666666666663</v>
      </c>
      <c r="H176" s="17" t="s">
        <v>73</v>
      </c>
      <c r="I176" s="17" t="s">
        <v>74</v>
      </c>
    </row>
    <row r="177" spans="1:9" x14ac:dyDescent="0.7">
      <c r="A177" s="19" t="str">
        <f>VLOOKUP(Control!A176,Roster1!$B$8:$AF$39,Control!B176,TRUE)</f>
        <v>CU  2905</v>
      </c>
      <c r="B177" s="17" t="s">
        <v>75</v>
      </c>
      <c r="C177" s="17"/>
      <c r="D177" s="20">
        <f>Control!$A176</f>
        <v>46180</v>
      </c>
      <c r="E177" s="20">
        <f>IFERROR(IF($G177-$F177&lt;0,Control!$A176+1,Control!$A176),Control!$A176)</f>
        <v>46180</v>
      </c>
      <c r="F177" s="23">
        <f>VLOOKUP(Control!$A176,Roster1!$B$8:$AF$39,Control!$C176,TRUE)</f>
        <v>0.54166666666666663</v>
      </c>
      <c r="G177" s="23">
        <f>VLOOKUP(Control!$A176,Roster1!$B$8:$AF$39,Control!$D176,TRUE)</f>
        <v>0.92083333333333328</v>
      </c>
      <c r="H177" s="17" t="s">
        <v>73</v>
      </c>
      <c r="I177" s="17" t="s">
        <v>74</v>
      </c>
    </row>
    <row r="178" spans="1:9" x14ac:dyDescent="0.7">
      <c r="A178" s="19" t="str">
        <f>VLOOKUP(Control!A177,Roster1!$B$8:$AF$39,Control!B177,TRUE)</f>
        <v>CU  907</v>
      </c>
      <c r="B178" s="17" t="s">
        <v>75</v>
      </c>
      <c r="C178" s="17"/>
      <c r="D178" s="20">
        <f>Control!$A177</f>
        <v>46181</v>
      </c>
      <c r="E178" s="20">
        <f>IFERROR(IF($G178-$F178&lt;0,Control!$A177+1,Control!$A177),Control!$A177)</f>
        <v>46181</v>
      </c>
      <c r="F178" s="23">
        <f>VLOOKUP(Control!$A177,Roster1!$B$8:$AF$39,Control!$C177,TRUE)</f>
        <v>0.5</v>
      </c>
      <c r="G178" s="23">
        <f>VLOOKUP(Control!$A177,Roster1!$B$8:$AF$39,Control!$D177,TRUE)</f>
        <v>0.70833333333333337</v>
      </c>
      <c r="H178" s="17" t="s">
        <v>73</v>
      </c>
      <c r="I178" s="17" t="s">
        <v>74</v>
      </c>
    </row>
    <row r="179" spans="1:9" x14ac:dyDescent="0.7">
      <c r="A179" s="19" t="str">
        <f>VLOOKUP(Control!A178,Roster1!$B$8:$AF$39,Control!B178,TRUE)</f>
        <v>RD</v>
      </c>
      <c r="B179" s="17" t="s">
        <v>75</v>
      </c>
      <c r="C179" s="17"/>
      <c r="D179" s="20">
        <f>Control!$A178</f>
        <v>46182</v>
      </c>
      <c r="E179" s="20">
        <f>IFERROR(IF($G179-$F179&lt;0,Control!$A178+1,Control!$A178),Control!$A178)</f>
        <v>46182</v>
      </c>
      <c r="F179" s="23" t="str">
        <f>VLOOKUP(Control!$A178,Roster1!$B$8:$AF$39,Control!$C178,TRUE)</f>
        <v/>
      </c>
      <c r="G179" s="23" t="str">
        <f>VLOOKUP(Control!$A178,Roster1!$B$8:$AF$39,Control!$D178,TRUE)</f>
        <v/>
      </c>
      <c r="H179" s="17" t="s">
        <v>73</v>
      </c>
      <c r="I179" s="17" t="s">
        <v>74</v>
      </c>
    </row>
    <row r="180" spans="1:9" x14ac:dyDescent="0.7">
      <c r="A180" s="19" t="str">
        <f>VLOOKUP(Control!A179,Roster1!$B$8:$AF$39,Control!B179,TRUE)</f>
        <v>RD</v>
      </c>
      <c r="B180" s="17" t="s">
        <v>75</v>
      </c>
      <c r="C180" s="17"/>
      <c r="D180" s="20">
        <f>Control!$A179</f>
        <v>46183</v>
      </c>
      <c r="E180" s="20">
        <f>IFERROR(IF($G180-$F180&lt;0,Control!$A179+1,Control!$A179),Control!$A179)</f>
        <v>46183</v>
      </c>
      <c r="F180" s="23" t="str">
        <f>VLOOKUP(Control!$A179,Roster1!$B$8:$AF$39,Control!$C179,TRUE)</f>
        <v/>
      </c>
      <c r="G180" s="23" t="str">
        <f>VLOOKUP(Control!$A179,Roster1!$B$8:$AF$39,Control!$D179,TRUE)</f>
        <v/>
      </c>
      <c r="H180" s="17" t="s">
        <v>73</v>
      </c>
      <c r="I180" s="17" t="s">
        <v>74</v>
      </c>
    </row>
    <row r="181" spans="1:9" x14ac:dyDescent="0.7">
      <c r="A181" s="19" t="str">
        <f>VLOOKUP(Control!A180,Roster1!$B$8:$AF$39,Control!B180,TRUE)</f>
        <v>RD</v>
      </c>
      <c r="B181" s="17" t="s">
        <v>75</v>
      </c>
      <c r="C181" s="17"/>
      <c r="D181" s="20">
        <f>Control!$A180</f>
        <v>46184</v>
      </c>
      <c r="E181" s="20">
        <f>IFERROR(IF($G181-$F181&lt;0,Control!$A180+1,Control!$A180),Control!$A180)</f>
        <v>46184</v>
      </c>
      <c r="F181" s="23" t="str">
        <f>VLOOKUP(Control!$A180,Roster1!$B$8:$AF$39,Control!$C180,TRUE)</f>
        <v/>
      </c>
      <c r="G181" s="23" t="str">
        <f>VLOOKUP(Control!$A180,Roster1!$B$8:$AF$39,Control!$D180,TRUE)</f>
        <v/>
      </c>
      <c r="H181" s="17" t="s">
        <v>73</v>
      </c>
      <c r="I181" s="17" t="s">
        <v>74</v>
      </c>
    </row>
    <row r="182" spans="1:9" x14ac:dyDescent="0.7">
      <c r="A182" s="19" t="str">
        <f>VLOOKUP(Control!A181,Roster1!$B$8:$AF$39,Control!B181,TRUE)</f>
        <v>RD</v>
      </c>
      <c r="B182" s="17" t="s">
        <v>75</v>
      </c>
      <c r="C182" s="17"/>
      <c r="D182" s="20">
        <f>Control!$A181</f>
        <v>46185</v>
      </c>
      <c r="E182" s="20">
        <f>IFERROR(IF($G182-$F182&lt;0,Control!$A181+1,Control!$A181),Control!$A181)</f>
        <v>46185</v>
      </c>
      <c r="F182" s="23" t="str">
        <f>VLOOKUP(Control!$A181,Roster1!$B$8:$AF$39,Control!$C181,TRUE)</f>
        <v/>
      </c>
      <c r="G182" s="23" t="str">
        <f>VLOOKUP(Control!$A181,Roster1!$B$8:$AF$39,Control!$D181,TRUE)</f>
        <v/>
      </c>
      <c r="H182" s="17" t="s">
        <v>73</v>
      </c>
      <c r="I182" s="17" t="s">
        <v>74</v>
      </c>
    </row>
    <row r="183" spans="1:9" x14ac:dyDescent="0.7">
      <c r="A183" s="19" t="str">
        <f>VLOOKUP(Control!A182,Roster1!$B$8:$AF$39,Control!B182,TRUE)</f>
        <v>CU  1901</v>
      </c>
      <c r="B183" s="17" t="s">
        <v>75</v>
      </c>
      <c r="C183" s="17"/>
      <c r="D183" s="20">
        <f>Control!$A182</f>
        <v>46186</v>
      </c>
      <c r="E183" s="20">
        <f>IFERROR(IF($G183-$F183&lt;0,Control!$A182+1,Control!$A182),Control!$A182)</f>
        <v>46186</v>
      </c>
      <c r="F183" s="23">
        <f>VLOOKUP(Control!$A182,Roster1!$B$8:$AF$39,Control!$C182,TRUE)</f>
        <v>0.19027777777777777</v>
      </c>
      <c r="G183" s="23">
        <f>VLOOKUP(Control!$A182,Roster1!$B$8:$AF$39,Control!$D182,TRUE)</f>
        <v>0.54097222222222219</v>
      </c>
      <c r="H183" s="17" t="s">
        <v>73</v>
      </c>
      <c r="I183" s="17" t="s">
        <v>74</v>
      </c>
    </row>
    <row r="184" spans="1:9" x14ac:dyDescent="0.7">
      <c r="A184" s="19" t="str">
        <f>VLOOKUP(Control!A183,Roster1!$B$8:$AF$39,Control!B183,TRUE)</f>
        <v>SP</v>
      </c>
      <c r="B184" s="17" t="s">
        <v>75</v>
      </c>
      <c r="C184" s="17"/>
      <c r="D184" s="20">
        <f>Control!$A183</f>
        <v>46187</v>
      </c>
      <c r="E184" s="20">
        <f>IFERROR(IF($G184-$F184&lt;0,Control!$A183+1,Control!$A183),Control!$A183)</f>
        <v>46187</v>
      </c>
      <c r="F184" s="23">
        <f>VLOOKUP(Control!$A183,Roster1!$B$8:$AF$39,Control!$C183,TRUE)</f>
        <v>0.33680555555555558</v>
      </c>
      <c r="G184" s="23">
        <f>VLOOKUP(Control!$A183,Roster1!$B$8:$AF$39,Control!$D183,TRUE)</f>
        <v>0.75347222222222221</v>
      </c>
      <c r="H184" s="17" t="s">
        <v>73</v>
      </c>
      <c r="I184" s="17" t="s">
        <v>74</v>
      </c>
    </row>
    <row r="185" spans="1:9" x14ac:dyDescent="0.7">
      <c r="A185" s="19" t="str">
        <f>VLOOKUP(Control!A184,Roster1!$B$8:$AF$39,Control!B184,TRUE)</f>
        <v>SP</v>
      </c>
      <c r="B185" s="17" t="s">
        <v>75</v>
      </c>
      <c r="C185" s="17"/>
      <c r="D185" s="20">
        <f>Control!$A184</f>
        <v>46188</v>
      </c>
      <c r="E185" s="20">
        <f>IFERROR(IF($G185-$F185&lt;0,Control!$A184+1,Control!$A184),Control!$A184)</f>
        <v>46188</v>
      </c>
      <c r="F185" s="23">
        <f>VLOOKUP(Control!$A184,Roster1!$B$8:$AF$39,Control!$C184,TRUE)</f>
        <v>0.26944444444444443</v>
      </c>
      <c r="G185" s="23">
        <f>VLOOKUP(Control!$A184,Roster1!$B$8:$AF$39,Control!$D184,TRUE)</f>
        <v>0.68611111111111112</v>
      </c>
      <c r="H185" s="17" t="s">
        <v>73</v>
      </c>
      <c r="I185" s="17" t="s">
        <v>74</v>
      </c>
    </row>
    <row r="186" spans="1:9" x14ac:dyDescent="0.7">
      <c r="A186" s="19" t="str">
        <f>VLOOKUP(Control!A185,Roster1!$B$8:$AF$39,Control!B185,TRUE)</f>
        <v>SP</v>
      </c>
      <c r="B186" s="17" t="s">
        <v>75</v>
      </c>
      <c r="C186" s="17"/>
      <c r="D186" s="20">
        <f>Control!$A185</f>
        <v>46189</v>
      </c>
      <c r="E186" s="20">
        <f>IFERROR(IF($G186-$F186&lt;0,Control!$A185+1,Control!$A185),Control!$A185)</f>
        <v>46189</v>
      </c>
      <c r="F186" s="23">
        <f>VLOOKUP(Control!$A185,Roster1!$B$8:$AF$39,Control!$C185,TRUE)</f>
        <v>0.18611111111111112</v>
      </c>
      <c r="G186" s="23">
        <f>VLOOKUP(Control!$A185,Roster1!$B$8:$AF$39,Control!$D185,TRUE)</f>
        <v>0.56111111111111112</v>
      </c>
      <c r="H186" s="17" t="s">
        <v>73</v>
      </c>
      <c r="I186" s="17" t="s">
        <v>74</v>
      </c>
    </row>
    <row r="187" spans="1:9" x14ac:dyDescent="0.7">
      <c r="A187" s="19" t="str">
        <f>VLOOKUP(Control!A186,Roster1!$B$8:$AF$39,Control!B186,TRUE)</f>
        <v>CU  903</v>
      </c>
      <c r="B187" s="17" t="s">
        <v>75</v>
      </c>
      <c r="C187" s="17"/>
      <c r="D187" s="20">
        <f>Control!$A186</f>
        <v>46190</v>
      </c>
      <c r="E187" s="20">
        <f>IFERROR(IF($G187-$F187&lt;0,Control!$A186+1,Control!$A186),Control!$A186)</f>
        <v>46190</v>
      </c>
      <c r="F187" s="23">
        <f>VLOOKUP(Control!$A186,Roster1!$B$8:$AF$39,Control!$C186,TRUE)</f>
        <v>0.28819444444444442</v>
      </c>
      <c r="G187" s="23">
        <f>VLOOKUP(Control!$A186,Roster1!$B$8:$AF$39,Control!$D186,TRUE)</f>
        <v>0.49930555555555556</v>
      </c>
      <c r="H187" s="17" t="s">
        <v>73</v>
      </c>
      <c r="I187" s="17" t="s">
        <v>74</v>
      </c>
    </row>
    <row r="188" spans="1:9" x14ac:dyDescent="0.7">
      <c r="A188" s="19" t="str">
        <f>VLOOKUP(Control!A187,Roster1!$B$8:$AF$39,Control!B187,TRUE)</f>
        <v>RD</v>
      </c>
      <c r="B188" s="17" t="s">
        <v>75</v>
      </c>
      <c r="C188" s="17"/>
      <c r="D188" s="20">
        <f>Control!$A187</f>
        <v>46191</v>
      </c>
      <c r="E188" s="20">
        <f>IFERROR(IF($G188-$F188&lt;0,Control!$A187+1,Control!$A187),Control!$A187)</f>
        <v>46191</v>
      </c>
      <c r="F188" s="23" t="str">
        <f>VLOOKUP(Control!$A187,Roster1!$B$8:$AF$39,Control!$C187,TRUE)</f>
        <v/>
      </c>
      <c r="G188" s="23" t="str">
        <f>VLOOKUP(Control!$A187,Roster1!$B$8:$AF$39,Control!$D187,TRUE)</f>
        <v/>
      </c>
      <c r="H188" s="17" t="s">
        <v>73</v>
      </c>
      <c r="I188" s="17" t="s">
        <v>74</v>
      </c>
    </row>
    <row r="189" spans="1:9" x14ac:dyDescent="0.7">
      <c r="A189" s="19" t="str">
        <f>VLOOKUP(Control!A188,Roster1!$B$8:$AF$39,Control!B188,TRUE)</f>
        <v>RD</v>
      </c>
      <c r="B189" s="17" t="s">
        <v>75</v>
      </c>
      <c r="C189" s="17"/>
      <c r="D189" s="20">
        <f>Control!$A188</f>
        <v>46192</v>
      </c>
      <c r="E189" s="20">
        <f>IFERROR(IF($G189-$F189&lt;0,Control!$A188+1,Control!$A188),Control!$A188)</f>
        <v>46192</v>
      </c>
      <c r="F189" s="23" t="str">
        <f>VLOOKUP(Control!$A188,Roster1!$B$8:$AF$39,Control!$C188,TRUE)</f>
        <v/>
      </c>
      <c r="G189" s="23" t="str">
        <f>VLOOKUP(Control!$A188,Roster1!$B$8:$AF$39,Control!$D188,TRUE)</f>
        <v/>
      </c>
      <c r="H189" s="17" t="s">
        <v>73</v>
      </c>
      <c r="I189" s="17" t="s">
        <v>74</v>
      </c>
    </row>
    <row r="190" spans="1:9" x14ac:dyDescent="0.7">
      <c r="A190" s="19" t="str">
        <f>VLOOKUP(Control!A189,Roster1!$B$8:$AF$39,Control!B189,TRUE)</f>
        <v>RD</v>
      </c>
      <c r="B190" s="17" t="s">
        <v>75</v>
      </c>
      <c r="C190" s="17"/>
      <c r="D190" s="20">
        <f>Control!$A189</f>
        <v>46193</v>
      </c>
      <c r="E190" s="20">
        <f>IFERROR(IF($G190-$F190&lt;0,Control!$A189+1,Control!$A189),Control!$A189)</f>
        <v>46193</v>
      </c>
      <c r="F190" s="23" t="str">
        <f>VLOOKUP(Control!$A189,Roster1!$B$8:$AF$39,Control!$C189,TRUE)</f>
        <v/>
      </c>
      <c r="G190" s="23" t="str">
        <f>VLOOKUP(Control!$A189,Roster1!$B$8:$AF$39,Control!$D189,TRUE)</f>
        <v/>
      </c>
      <c r="H190" s="17" t="s">
        <v>73</v>
      </c>
      <c r="I190" s="17" t="s">
        <v>74</v>
      </c>
    </row>
    <row r="191" spans="1:9" x14ac:dyDescent="0.7">
      <c r="A191" s="19" t="str">
        <f>VLOOKUP(Control!A190,Roster1!$B$8:$AF$39,Control!B190,TRUE)</f>
        <v>SP</v>
      </c>
      <c r="B191" s="17" t="s">
        <v>75</v>
      </c>
      <c r="C191" s="17"/>
      <c r="D191" s="20">
        <f>Control!$A190</f>
        <v>46194</v>
      </c>
      <c r="E191" s="20">
        <f>IFERROR(IF($G191-$F191&lt;0,Control!$A190+1,Control!$A190),Control!$A190)</f>
        <v>46194</v>
      </c>
      <c r="F191" s="23">
        <f>VLOOKUP(Control!$A190,Roster1!$B$8:$AF$39,Control!$C190,TRUE)</f>
        <v>0.54166666666666663</v>
      </c>
      <c r="G191" s="23">
        <f>VLOOKUP(Control!$A190,Roster1!$B$8:$AF$39,Control!$D190,TRUE)</f>
        <v>0.95833333333333337</v>
      </c>
      <c r="H191" s="17" t="s">
        <v>73</v>
      </c>
      <c r="I191" s="17" t="s">
        <v>74</v>
      </c>
    </row>
    <row r="192" spans="1:9" x14ac:dyDescent="0.7">
      <c r="A192" s="19" t="str">
        <f>VLOOKUP(Control!A191,Roster1!$B$8:$AF$39,Control!B191,TRUE)</f>
        <v>SP</v>
      </c>
      <c r="B192" s="17" t="s">
        <v>75</v>
      </c>
      <c r="C192" s="17"/>
      <c r="D192" s="20">
        <f>Control!$A191</f>
        <v>46195</v>
      </c>
      <c r="E192" s="20">
        <f>IFERROR(IF($G192-$F192&lt;0,Control!$A191+1,Control!$A191),Control!$A191)</f>
        <v>46195</v>
      </c>
      <c r="F192" s="23">
        <f>VLOOKUP(Control!$A191,Roster1!$B$8:$AF$39,Control!$C191,TRUE)</f>
        <v>0.5</v>
      </c>
      <c r="G192" s="23">
        <f>VLOOKUP(Control!$A191,Roster1!$B$8:$AF$39,Control!$D191,TRUE)</f>
        <v>0.91666666666666663</v>
      </c>
      <c r="H192" s="17" t="s">
        <v>73</v>
      </c>
      <c r="I192" s="17" t="s">
        <v>74</v>
      </c>
    </row>
    <row r="193" spans="1:9" x14ac:dyDescent="0.7">
      <c r="A193" s="19" t="str">
        <f>VLOOKUP(Control!A192,Roster1!$B$8:$AF$39,Control!B192,TRUE)</f>
        <v>SP</v>
      </c>
      <c r="B193" s="17" t="s">
        <v>75</v>
      </c>
      <c r="C193" s="17"/>
      <c r="D193" s="20">
        <f>Control!$A192</f>
        <v>46196</v>
      </c>
      <c r="E193" s="20">
        <f>IFERROR(IF($G193-$F193&lt;0,Control!$A192+1,Control!$A192),Control!$A192)</f>
        <v>46196</v>
      </c>
      <c r="F193" s="23">
        <f>VLOOKUP(Control!$A192,Roster1!$B$8:$AF$39,Control!$C192,TRUE)</f>
        <v>0.54097222222222219</v>
      </c>
      <c r="G193" s="23">
        <f>VLOOKUP(Control!$A192,Roster1!$B$8:$AF$39,Control!$D192,TRUE)</f>
        <v>0.95763888888888893</v>
      </c>
      <c r="H193" s="17" t="s">
        <v>73</v>
      </c>
      <c r="I193" s="17" t="s">
        <v>74</v>
      </c>
    </row>
    <row r="194" spans="1:9" x14ac:dyDescent="0.7">
      <c r="A194" s="19" t="str">
        <f>VLOOKUP(Control!A193,Roster1!$B$8:$AF$39,Control!B193,TRUE)</f>
        <v>CU  906</v>
      </c>
      <c r="B194" s="17" t="s">
        <v>75</v>
      </c>
      <c r="C194" s="17"/>
      <c r="D194" s="20">
        <f>Control!$A193</f>
        <v>46197</v>
      </c>
      <c r="E194" s="20">
        <f>IFERROR(IF($G194-$F194&lt;0,Control!$A193+1,Control!$A193),Control!$A193)</f>
        <v>46198</v>
      </c>
      <c r="F194" s="23">
        <f>VLOOKUP(Control!$A193,Roster1!$B$8:$AF$39,Control!$C193,TRUE)</f>
        <v>0.66805555555555551</v>
      </c>
      <c r="G194" s="23">
        <f>VLOOKUP(Control!$A193,Roster1!$B$8:$AF$39,Control!$D193,TRUE)</f>
        <v>1.0416666666666666E-2</v>
      </c>
      <c r="H194" s="17" t="s">
        <v>73</v>
      </c>
      <c r="I194" s="17" t="s">
        <v>74</v>
      </c>
    </row>
    <row r="195" spans="1:9" x14ac:dyDescent="0.7">
      <c r="A195" s="19" t="str">
        <f>VLOOKUP(Control!A194,Roster1!$B$8:$AF$39,Control!B194,TRUE)</f>
        <v>CU  905</v>
      </c>
      <c r="B195" s="17" t="s">
        <v>75</v>
      </c>
      <c r="C195" s="17"/>
      <c r="D195" s="20">
        <f>Control!$A194</f>
        <v>46198</v>
      </c>
      <c r="E195" s="20">
        <f>IFERROR(IF($G195-$F195&lt;0,Control!$A194+1,Control!$A194),Control!$A194)</f>
        <v>46198</v>
      </c>
      <c r="F195" s="23">
        <f>VLOOKUP(Control!$A194,Roster1!$B$8:$AF$39,Control!$C194,TRUE)</f>
        <v>0.58333333333333337</v>
      </c>
      <c r="G195" s="23">
        <f>VLOOKUP(Control!$A194,Roster1!$B$8:$AF$39,Control!$D194,TRUE)</f>
        <v>0.98124999999999996</v>
      </c>
      <c r="H195" s="17" t="s">
        <v>73</v>
      </c>
      <c r="I195" s="17" t="s">
        <v>74</v>
      </c>
    </row>
    <row r="196" spans="1:9" x14ac:dyDescent="0.7">
      <c r="A196" s="19" t="str">
        <f>VLOOKUP(Control!A195,Roster1!$B$8:$AF$39,Control!B195,TRUE)</f>
        <v>CU  907</v>
      </c>
      <c r="B196" s="17" t="s">
        <v>75</v>
      </c>
      <c r="C196" s="17"/>
      <c r="D196" s="20">
        <f>Control!$A195</f>
        <v>46199</v>
      </c>
      <c r="E196" s="20">
        <f>IFERROR(IF($G196-$F196&lt;0,Control!$A195+1,Control!$A195),Control!$A195)</f>
        <v>46199</v>
      </c>
      <c r="F196" s="23">
        <f>VLOOKUP(Control!$A195,Roster1!$B$8:$AF$39,Control!$C195,TRUE)</f>
        <v>0.5</v>
      </c>
      <c r="G196" s="23">
        <f>VLOOKUP(Control!$A195,Roster1!$B$8:$AF$39,Control!$D195,TRUE)</f>
        <v>0.70833333333333337</v>
      </c>
      <c r="H196" s="17" t="s">
        <v>73</v>
      </c>
      <c r="I196" s="17" t="s">
        <v>74</v>
      </c>
    </row>
    <row r="197" spans="1:9" x14ac:dyDescent="0.7">
      <c r="A197" s="19" t="str">
        <f>VLOOKUP(Control!A196,Roster1!$B$8:$AF$39,Control!B196,TRUE)</f>
        <v>RD</v>
      </c>
      <c r="B197" s="17" t="s">
        <v>75</v>
      </c>
      <c r="C197" s="17"/>
      <c r="D197" s="20">
        <f>Control!$A196</f>
        <v>46200</v>
      </c>
      <c r="E197" s="20">
        <f>IFERROR(IF($G197-$F197&lt;0,Control!$A196+1,Control!$A196),Control!$A196)</f>
        <v>46200</v>
      </c>
      <c r="F197" s="23" t="str">
        <f>VLOOKUP(Control!$A196,Roster1!$B$8:$AF$39,Control!$C196,TRUE)</f>
        <v/>
      </c>
      <c r="G197" s="23" t="str">
        <f>VLOOKUP(Control!$A196,Roster1!$B$8:$AF$39,Control!$D196,TRUE)</f>
        <v/>
      </c>
      <c r="H197" s="17" t="s">
        <v>73</v>
      </c>
      <c r="I197" s="17" t="s">
        <v>74</v>
      </c>
    </row>
    <row r="198" spans="1:9" x14ac:dyDescent="0.7">
      <c r="A198" s="19" t="str">
        <f>VLOOKUP(Control!A197,Roster1!$B$8:$AF$39,Control!B197,TRUE)</f>
        <v>RD</v>
      </c>
      <c r="B198" s="17" t="s">
        <v>75</v>
      </c>
      <c r="C198" s="17"/>
      <c r="D198" s="20">
        <f>Control!$A197</f>
        <v>46201</v>
      </c>
      <c r="E198" s="20">
        <f>IFERROR(IF($G198-$F198&lt;0,Control!$A197+1,Control!$A197),Control!$A197)</f>
        <v>46201</v>
      </c>
      <c r="F198" s="23" t="str">
        <f>VLOOKUP(Control!$A197,Roster1!$B$8:$AF$39,Control!$C197,TRUE)</f>
        <v/>
      </c>
      <c r="G198" s="23" t="str">
        <f>VLOOKUP(Control!$A197,Roster1!$B$8:$AF$39,Control!$D197,TRUE)</f>
        <v/>
      </c>
      <c r="H198" s="17" t="s">
        <v>73</v>
      </c>
      <c r="I198" s="17" t="s">
        <v>74</v>
      </c>
    </row>
    <row r="199" spans="1:9" x14ac:dyDescent="0.7">
      <c r="A199" s="19" t="str">
        <f>VLOOKUP(Control!A198,Roster1!$B$8:$AF$39,Control!B198,TRUE)</f>
        <v>RD</v>
      </c>
      <c r="B199" s="17" t="s">
        <v>75</v>
      </c>
      <c r="C199" s="17"/>
      <c r="D199" s="20">
        <f>Control!$A198</f>
        <v>46202</v>
      </c>
      <c r="E199" s="20">
        <f>IFERROR(IF($G199-$F199&lt;0,Control!$A198+1,Control!$A198),Control!$A198)</f>
        <v>46202</v>
      </c>
      <c r="F199" s="23" t="str">
        <f>VLOOKUP(Control!$A198,Roster1!$B$8:$AF$39,Control!$C198,TRUE)</f>
        <v/>
      </c>
      <c r="G199" s="23">
        <f>VLOOKUP(Control!$A198,Roster1!$B$8:$AF$39,Control!$D198,TRUE)</f>
        <v>0</v>
      </c>
      <c r="H199" s="17" t="s">
        <v>73</v>
      </c>
      <c r="I199" s="17" t="s">
        <v>74</v>
      </c>
    </row>
    <row r="200" spans="1:9" x14ac:dyDescent="0.7">
      <c r="A200" s="19" t="str">
        <f>VLOOKUP(Control!A199,Roster1!$B$8:$AF$39,Control!B199,TRUE)</f>
        <v>RD</v>
      </c>
      <c r="B200" s="17" t="s">
        <v>75</v>
      </c>
      <c r="C200" s="17"/>
      <c r="D200" s="20">
        <f>Control!$A199</f>
        <v>46203</v>
      </c>
      <c r="E200" s="20">
        <f>IFERROR(IF($G200-$F200&lt;0,Control!$A199+1,Control!$A199),Control!$A199)</f>
        <v>46203</v>
      </c>
      <c r="F200" s="23" t="str">
        <f>VLOOKUP(Control!$A199,Roster1!$B$8:$AF$39,Control!$C199,TRUE)</f>
        <v/>
      </c>
      <c r="G200" s="23" t="str">
        <f>VLOOKUP(Control!$A199,Roster1!$B$8:$AF$39,Control!$D199,TRUE)</f>
        <v/>
      </c>
      <c r="H200" s="17" t="s">
        <v>73</v>
      </c>
      <c r="I200" s="17" t="s">
        <v>74</v>
      </c>
    </row>
    <row r="201" spans="1:9" x14ac:dyDescent="0.7">
      <c r="A201" s="19" t="str">
        <f>VLOOKUP(Control!A200,Roster1!$B$8:$AF$39,Control!B200,TRUE)</f>
        <v>RD</v>
      </c>
      <c r="B201" s="17" t="s">
        <v>75</v>
      </c>
      <c r="C201" s="17"/>
      <c r="D201" s="20">
        <f>Control!$A200</f>
        <v>46204</v>
      </c>
      <c r="E201" s="20">
        <f>IFERROR(IF($G201-$F201&lt;0,Control!$A200+1,Control!$A200),Control!$A200)</f>
        <v>46204</v>
      </c>
      <c r="F201" s="23" t="str">
        <f>VLOOKUP(Control!$A200,Roster1!$B$8:$AF$39,Control!$C200,TRUE)</f>
        <v/>
      </c>
      <c r="G201" s="23" t="str">
        <f>VLOOKUP(Control!$A200,Roster1!$B$8:$AF$39,Control!$D200,TRUE)</f>
        <v/>
      </c>
      <c r="H201" s="17" t="s">
        <v>73</v>
      </c>
      <c r="I201" s="17" t="s">
        <v>74</v>
      </c>
    </row>
    <row r="202" spans="1:9" x14ac:dyDescent="0.7">
      <c r="A202" s="19" t="str">
        <f>VLOOKUP(Control!A201,Roster1!$B$8:$AF$39,Control!B201,TRUE)</f>
        <v>CU  904</v>
      </c>
      <c r="B202" s="17" t="s">
        <v>75</v>
      </c>
      <c r="C202" s="17"/>
      <c r="D202" s="20">
        <f>Control!$A201</f>
        <v>46205</v>
      </c>
      <c r="E202" s="20">
        <f>IFERROR(IF($G202-$F202&lt;0,Control!$A201+1,Control!$A201),Control!$A201)</f>
        <v>46205</v>
      </c>
      <c r="F202" s="23">
        <f>VLOOKUP(Control!$A201,Roster1!$B$8:$AF$39,Control!$C201,TRUE)</f>
        <v>0.45833333333333331</v>
      </c>
      <c r="G202" s="23">
        <f>VLOOKUP(Control!$A201,Roster1!$B$8:$AF$39,Control!$D201,TRUE)</f>
        <v>0.74930555555555556</v>
      </c>
      <c r="H202" s="17" t="s">
        <v>73</v>
      </c>
      <c r="I202" s="17" t="s">
        <v>74</v>
      </c>
    </row>
    <row r="203" spans="1:9" x14ac:dyDescent="0.7">
      <c r="A203" s="19" t="str">
        <f>VLOOKUP(Control!A202,Roster1!$B$8:$AF$39,Control!B202,TRUE)</f>
        <v>CU  904</v>
      </c>
      <c r="B203" s="17" t="s">
        <v>75</v>
      </c>
      <c r="C203" s="17"/>
      <c r="D203" s="20">
        <f>Control!$A202</f>
        <v>46206</v>
      </c>
      <c r="E203" s="20">
        <f>IFERROR(IF($G203-$F203&lt;0,Control!$A202+1,Control!$A202),Control!$A202)</f>
        <v>46206</v>
      </c>
      <c r="F203" s="23">
        <f>VLOOKUP(Control!$A202,Roster1!$B$8:$AF$39,Control!$C202,TRUE)</f>
        <v>0.45833333333333331</v>
      </c>
      <c r="G203" s="23">
        <f>VLOOKUP(Control!$A202,Roster1!$B$8:$AF$39,Control!$D202,TRUE)</f>
        <v>0.74930555555555556</v>
      </c>
      <c r="H203" s="17" t="s">
        <v>73</v>
      </c>
      <c r="I203" s="17" t="s">
        <v>74</v>
      </c>
    </row>
    <row r="204" spans="1:9" x14ac:dyDescent="0.7">
      <c r="A204" s="19" t="str">
        <f>VLOOKUP(Control!A203,Roster1!$B$8:$AF$39,Control!B203,TRUE)</f>
        <v>CU  1904</v>
      </c>
      <c r="B204" s="17" t="s">
        <v>75</v>
      </c>
      <c r="C204" s="17"/>
      <c r="D204" s="20">
        <f>Control!$A203</f>
        <v>46207</v>
      </c>
      <c r="E204" s="20">
        <f>IFERROR(IF($G204-$F204&lt;0,Control!$A203+1,Control!$A203),Control!$A203)</f>
        <v>46207</v>
      </c>
      <c r="F204" s="23">
        <f>VLOOKUP(Control!$A203,Roster1!$B$8:$AF$39,Control!$C203,TRUE)</f>
        <v>0.45833333333333331</v>
      </c>
      <c r="G204" s="23">
        <f>VLOOKUP(Control!$A203,Roster1!$B$8:$AF$39,Control!$D203,TRUE)</f>
        <v>0.74930555555555556</v>
      </c>
      <c r="H204" s="17" t="s">
        <v>73</v>
      </c>
      <c r="I204" s="17" t="s">
        <v>74</v>
      </c>
    </row>
    <row r="205" spans="1:9" x14ac:dyDescent="0.7">
      <c r="A205" s="19" t="str">
        <f>VLOOKUP(Control!A204,Roster1!$B$8:$AF$39,Control!B204,TRUE)</f>
        <v>CU  2901</v>
      </c>
      <c r="B205" s="17" t="s">
        <v>75</v>
      </c>
      <c r="C205" s="17"/>
      <c r="D205" s="20">
        <f>Control!$A204</f>
        <v>46208</v>
      </c>
      <c r="E205" s="20">
        <f>IFERROR(IF($G205-$F205&lt;0,Control!$A204+1,Control!$A204),Control!$A204)</f>
        <v>46208</v>
      </c>
      <c r="F205" s="23">
        <f>VLOOKUP(Control!$A204,Roster1!$B$8:$AF$39,Control!$C204,TRUE)</f>
        <v>0.33680555555555558</v>
      </c>
      <c r="G205" s="23">
        <f>VLOOKUP(Control!$A204,Roster1!$B$8:$AF$39,Control!$D204,TRUE)</f>
        <v>0.62430555555555556</v>
      </c>
      <c r="H205" s="17" t="s">
        <v>73</v>
      </c>
      <c r="I205" s="17" t="s">
        <v>74</v>
      </c>
    </row>
    <row r="206" spans="1:9" x14ac:dyDescent="0.7">
      <c r="A206" s="19" t="str">
        <f>VLOOKUP(Control!A205,Roster1!$B$8:$AF$39,Control!B205,TRUE)</f>
        <v>SP</v>
      </c>
      <c r="B206" s="17" t="s">
        <v>75</v>
      </c>
      <c r="C206" s="17"/>
      <c r="D206" s="20">
        <f>Control!$A205</f>
        <v>46209</v>
      </c>
      <c r="E206" s="20">
        <f>IFERROR(IF($G206-$F206&lt;0,Control!$A205+1,Control!$A205),Control!$A205)</f>
        <v>46209</v>
      </c>
      <c r="F206" s="23">
        <f>VLOOKUP(Control!$A205,Roster1!$B$8:$AF$39,Control!$C205,TRUE)</f>
        <v>0.24166666666666667</v>
      </c>
      <c r="G206" s="23">
        <f>VLOOKUP(Control!$A205,Roster1!$B$8:$AF$39,Control!$D205,TRUE)</f>
        <v>0.65833333333333333</v>
      </c>
      <c r="H206" s="17" t="s">
        <v>73</v>
      </c>
      <c r="I206" s="17" t="s">
        <v>74</v>
      </c>
    </row>
    <row r="207" spans="1:9" x14ac:dyDescent="0.7">
      <c r="A207" s="19" t="str">
        <f>VLOOKUP(Control!A206,Roster1!$B$8:$AF$39,Control!B206,TRUE)</f>
        <v>RD</v>
      </c>
      <c r="B207" s="17" t="s">
        <v>75</v>
      </c>
      <c r="C207" s="17"/>
      <c r="D207" s="20">
        <f>Control!$A206</f>
        <v>46210</v>
      </c>
      <c r="E207" s="20">
        <f>IFERROR(IF($G207-$F207&lt;0,Control!$A206+1,Control!$A206),Control!$A206)</f>
        <v>46210</v>
      </c>
      <c r="F207" s="23" t="str">
        <f>VLOOKUP(Control!$A206,Roster1!$B$8:$AF$39,Control!$C206,TRUE)</f>
        <v/>
      </c>
      <c r="G207" s="23" t="str">
        <f>VLOOKUP(Control!$A206,Roster1!$B$8:$AF$39,Control!$D206,TRUE)</f>
        <v/>
      </c>
      <c r="H207" s="17" t="s">
        <v>73</v>
      </c>
      <c r="I207" s="17" t="s">
        <v>74</v>
      </c>
    </row>
    <row r="208" spans="1:9" x14ac:dyDescent="0.7">
      <c r="A208" s="19" t="str">
        <f>VLOOKUP(Control!A207,Roster1!$B$8:$AF$39,Control!B207,TRUE)</f>
        <v>RD</v>
      </c>
      <c r="B208" s="17" t="s">
        <v>75</v>
      </c>
      <c r="C208" s="17"/>
      <c r="D208" s="20">
        <f>Control!$A207</f>
        <v>46211</v>
      </c>
      <c r="E208" s="20">
        <f>IFERROR(IF($G208-$F208&lt;0,Control!$A207+1,Control!$A207),Control!$A207)</f>
        <v>46211</v>
      </c>
      <c r="F208" s="23" t="str">
        <f>VLOOKUP(Control!$A207,Roster1!$B$8:$AF$39,Control!$C207,TRUE)</f>
        <v/>
      </c>
      <c r="G208" s="23" t="str">
        <f>VLOOKUP(Control!$A207,Roster1!$B$8:$AF$39,Control!$D207,TRUE)</f>
        <v/>
      </c>
      <c r="H208" s="17" t="s">
        <v>73</v>
      </c>
      <c r="I208" s="17" t="s">
        <v>74</v>
      </c>
    </row>
    <row r="209" spans="1:9" x14ac:dyDescent="0.7">
      <c r="A209" s="19" t="str">
        <f>VLOOKUP(Control!A208,Roster1!$B$8:$AF$39,Control!B208,TRUE)</f>
        <v>RD</v>
      </c>
      <c r="B209" s="17" t="s">
        <v>75</v>
      </c>
      <c r="C209" s="17"/>
      <c r="D209" s="20">
        <f>Control!$A208</f>
        <v>46212</v>
      </c>
      <c r="E209" s="20">
        <f>IFERROR(IF($G209-$F209&lt;0,Control!$A208+1,Control!$A208),Control!$A208)</f>
        <v>46212</v>
      </c>
      <c r="F209" s="23" t="str">
        <f>VLOOKUP(Control!$A208,Roster1!$B$8:$AF$39,Control!$C208,TRUE)</f>
        <v/>
      </c>
      <c r="G209" s="23" t="str">
        <f>VLOOKUP(Control!$A208,Roster1!$B$8:$AF$39,Control!$D208,TRUE)</f>
        <v/>
      </c>
      <c r="H209" s="17" t="s">
        <v>73</v>
      </c>
      <c r="I209" s="17" t="s">
        <v>74</v>
      </c>
    </row>
    <row r="210" spans="1:9" x14ac:dyDescent="0.7">
      <c r="A210" s="19" t="str">
        <f>VLOOKUP(Control!A209,Roster1!$B$8:$AF$39,Control!B209,TRUE)</f>
        <v>SP</v>
      </c>
      <c r="B210" s="17" t="s">
        <v>75</v>
      </c>
      <c r="C210" s="17"/>
      <c r="D210" s="20">
        <f>Control!$A209</f>
        <v>46213</v>
      </c>
      <c r="E210" s="20">
        <f>IFERROR(IF($G210-$F210&lt;0,Control!$A209+1,Control!$A209),Control!$A209)</f>
        <v>46213</v>
      </c>
      <c r="F210" s="23">
        <f>VLOOKUP(Control!$A209,Roster1!$B$8:$AF$39,Control!$C209,TRUE)</f>
        <v>0.58125000000000004</v>
      </c>
      <c r="G210" s="23">
        <f>VLOOKUP(Control!$A209,Roster1!$B$8:$AF$39,Control!$D209,TRUE)</f>
        <v>0.99791666666666667</v>
      </c>
      <c r="H210" s="17" t="s">
        <v>73</v>
      </c>
      <c r="I210" s="17" t="s">
        <v>74</v>
      </c>
    </row>
    <row r="211" spans="1:9" x14ac:dyDescent="0.7">
      <c r="A211" s="19" t="str">
        <f>VLOOKUP(Control!A210,Roster1!$B$8:$AF$39,Control!B210,TRUE)</f>
        <v>SP</v>
      </c>
      <c r="B211" s="17" t="s">
        <v>75</v>
      </c>
      <c r="C211" s="17"/>
      <c r="D211" s="20">
        <f>Control!$A210</f>
        <v>46214</v>
      </c>
      <c r="E211" s="20">
        <f>IFERROR(IF($G211-$F211&lt;0,Control!$A210+1,Control!$A210),Control!$A210)</f>
        <v>46214</v>
      </c>
      <c r="F211" s="23">
        <f>VLOOKUP(Control!$A210,Roster1!$B$8:$AF$39,Control!$C210,TRUE)</f>
        <v>0.58194444444444449</v>
      </c>
      <c r="G211" s="23">
        <f>VLOOKUP(Control!$A210,Roster1!$B$8:$AF$39,Control!$D210,TRUE)</f>
        <v>0.99861111111111112</v>
      </c>
      <c r="H211" s="17" t="s">
        <v>73</v>
      </c>
      <c r="I211" s="17" t="s">
        <v>74</v>
      </c>
    </row>
    <row r="212" spans="1:9" x14ac:dyDescent="0.7">
      <c r="A212" s="19" t="str">
        <f>VLOOKUP(Control!A211,Roster1!$B$8:$AF$39,Control!B211,TRUE)</f>
        <v>CU  2909</v>
      </c>
      <c r="B212" s="17" t="s">
        <v>75</v>
      </c>
      <c r="C212" s="17"/>
      <c r="D212" s="20">
        <f>Control!$A211</f>
        <v>46215</v>
      </c>
      <c r="E212" s="20">
        <f>IFERROR(IF($G212-$F212&lt;0,Control!$A211+1,Control!$A211),Control!$A211)</f>
        <v>46215</v>
      </c>
      <c r="F212" s="23">
        <f>VLOOKUP(Control!$A211,Roster1!$B$8:$AF$39,Control!$C211,TRUE)</f>
        <v>0.66666666666666663</v>
      </c>
      <c r="G212" s="23">
        <f>VLOOKUP(Control!$A211,Roster1!$B$8:$AF$39,Control!$D211,TRUE)</f>
        <v>0.875</v>
      </c>
      <c r="H212" s="17" t="s">
        <v>73</v>
      </c>
      <c r="I212" s="17" t="s">
        <v>74</v>
      </c>
    </row>
    <row r="213" spans="1:9" x14ac:dyDescent="0.7">
      <c r="A213" s="19" t="str">
        <f>VLOOKUP(Control!A212,Roster1!$B$8:$AF$39,Control!B212,TRUE)</f>
        <v>SP</v>
      </c>
      <c r="B213" s="17" t="s">
        <v>75</v>
      </c>
      <c r="C213" s="17"/>
      <c r="D213" s="20">
        <f>Control!$A212</f>
        <v>46216</v>
      </c>
      <c r="E213" s="20">
        <f>IFERROR(IF($G213-$F213&lt;0,Control!$A212+1,Control!$A212),Control!$A212)</f>
        <v>46216</v>
      </c>
      <c r="F213" s="23">
        <f>VLOOKUP(Control!$A212,Roster1!$B$8:$AF$39,Control!$C212,TRUE)</f>
        <v>0.54097222222222219</v>
      </c>
      <c r="G213" s="23">
        <f>VLOOKUP(Control!$A212,Roster1!$B$8:$AF$39,Control!$D212,TRUE)</f>
        <v>0.95763888888888893</v>
      </c>
      <c r="H213" s="17" t="s">
        <v>73</v>
      </c>
      <c r="I213" s="17" t="s">
        <v>74</v>
      </c>
    </row>
    <row r="214" spans="1:9" x14ac:dyDescent="0.7">
      <c r="A214" s="19" t="str">
        <f>VLOOKUP(Control!A213,Roster1!$B$8:$AF$39,Control!B213,TRUE)</f>
        <v>CU  905</v>
      </c>
      <c r="B214" s="17" t="s">
        <v>75</v>
      </c>
      <c r="C214" s="17"/>
      <c r="D214" s="20">
        <f>Control!$A213</f>
        <v>46217</v>
      </c>
      <c r="E214" s="20">
        <f>IFERROR(IF($G214-$F214&lt;0,Control!$A213+1,Control!$A213),Control!$A213)</f>
        <v>46217</v>
      </c>
      <c r="F214" s="23">
        <f>VLOOKUP(Control!$A213,Roster1!$B$8:$AF$39,Control!$C213,TRUE)</f>
        <v>0.58333333333333337</v>
      </c>
      <c r="G214" s="23">
        <f>VLOOKUP(Control!$A213,Roster1!$B$8:$AF$39,Control!$D213,TRUE)</f>
        <v>0.98124999999999996</v>
      </c>
      <c r="H214" s="17" t="s">
        <v>73</v>
      </c>
      <c r="I214" s="17" t="s">
        <v>74</v>
      </c>
    </row>
    <row r="215" spans="1:9" x14ac:dyDescent="0.7">
      <c r="A215" s="19" t="str">
        <f>VLOOKUP(Control!A214,Roster1!$B$8:$AF$39,Control!B214,TRUE)</f>
        <v>CU  907</v>
      </c>
      <c r="B215" s="17" t="s">
        <v>75</v>
      </c>
      <c r="C215" s="17"/>
      <c r="D215" s="20">
        <f>Control!$A214</f>
        <v>46218</v>
      </c>
      <c r="E215" s="20">
        <f>IFERROR(IF($G215-$F215&lt;0,Control!$A214+1,Control!$A214),Control!$A214)</f>
        <v>46218</v>
      </c>
      <c r="F215" s="23">
        <f>VLOOKUP(Control!$A214,Roster1!$B$8:$AF$39,Control!$C214,TRUE)</f>
        <v>0.5</v>
      </c>
      <c r="G215" s="23">
        <f>VLOOKUP(Control!$A214,Roster1!$B$8:$AF$39,Control!$D214,TRUE)</f>
        <v>0.70833333333333337</v>
      </c>
      <c r="H215" s="17" t="s">
        <v>73</v>
      </c>
      <c r="I215" s="17" t="s">
        <v>74</v>
      </c>
    </row>
    <row r="216" spans="1:9" x14ac:dyDescent="0.7">
      <c r="A216" s="19" t="str">
        <f>VLOOKUP(Control!A215,Roster1!$B$8:$AF$39,Control!B215,TRUE)</f>
        <v>RD</v>
      </c>
      <c r="B216" s="17" t="s">
        <v>75</v>
      </c>
      <c r="C216" s="17"/>
      <c r="D216" s="20">
        <f>Control!$A215</f>
        <v>46219</v>
      </c>
      <c r="E216" s="20">
        <f>IFERROR(IF($G216-$F216&lt;0,Control!$A215+1,Control!$A215),Control!$A215)</f>
        <v>46219</v>
      </c>
      <c r="F216" s="23" t="str">
        <f>VLOOKUP(Control!$A215,Roster1!$B$8:$AF$39,Control!$C215,TRUE)</f>
        <v/>
      </c>
      <c r="G216" s="23" t="str">
        <f>VLOOKUP(Control!$A215,Roster1!$B$8:$AF$39,Control!$D215,TRUE)</f>
        <v/>
      </c>
      <c r="H216" s="17" t="s">
        <v>73</v>
      </c>
      <c r="I216" s="17" t="s">
        <v>74</v>
      </c>
    </row>
    <row r="217" spans="1:9" x14ac:dyDescent="0.7">
      <c r="A217" s="19" t="str">
        <f>VLOOKUP(Control!A216,Roster1!$B$8:$AF$39,Control!B216,TRUE)</f>
        <v>RD</v>
      </c>
      <c r="B217" s="17" t="s">
        <v>75</v>
      </c>
      <c r="C217" s="17"/>
      <c r="D217" s="20">
        <f>Control!$A216</f>
        <v>46220</v>
      </c>
      <c r="E217" s="20">
        <f>IFERROR(IF($G217-$F217&lt;0,Control!$A216+1,Control!$A216),Control!$A216)</f>
        <v>46220</v>
      </c>
      <c r="F217" s="23" t="str">
        <f>VLOOKUP(Control!$A216,Roster1!$B$8:$AF$39,Control!$C216,TRUE)</f>
        <v/>
      </c>
      <c r="G217" s="23" t="str">
        <f>VLOOKUP(Control!$A216,Roster1!$B$8:$AF$39,Control!$D216,TRUE)</f>
        <v/>
      </c>
      <c r="H217" s="17" t="s">
        <v>73</v>
      </c>
      <c r="I217" s="17" t="s">
        <v>74</v>
      </c>
    </row>
    <row r="218" spans="1:9" x14ac:dyDescent="0.7">
      <c r="A218" s="19" t="str">
        <f>VLOOKUP(Control!A217,Roster1!$B$8:$AF$39,Control!B217,TRUE)</f>
        <v>RD</v>
      </c>
      <c r="B218" s="17" t="s">
        <v>75</v>
      </c>
      <c r="C218" s="17"/>
      <c r="D218" s="20">
        <f>Control!$A217</f>
        <v>46221</v>
      </c>
      <c r="E218" s="20">
        <f>IFERROR(IF($G218-$F218&lt;0,Control!$A217+1,Control!$A217),Control!$A217)</f>
        <v>46221</v>
      </c>
      <c r="F218" s="23" t="str">
        <f>VLOOKUP(Control!$A217,Roster1!$B$8:$AF$39,Control!$C217,TRUE)</f>
        <v/>
      </c>
      <c r="G218" s="23" t="str">
        <f>VLOOKUP(Control!$A217,Roster1!$B$8:$AF$39,Control!$D217,TRUE)</f>
        <v/>
      </c>
      <c r="H218" s="17" t="s">
        <v>73</v>
      </c>
      <c r="I218" s="17" t="s">
        <v>74</v>
      </c>
    </row>
    <row r="219" spans="1:9" x14ac:dyDescent="0.7">
      <c r="A219" s="19" t="str">
        <f>VLOOKUP(Control!A218,Roster1!$B$8:$AF$39,Control!B218,TRUE)</f>
        <v>SP</v>
      </c>
      <c r="B219" s="17" t="s">
        <v>75</v>
      </c>
      <c r="C219" s="17"/>
      <c r="D219" s="20">
        <f>Control!$A218</f>
        <v>46222</v>
      </c>
      <c r="E219" s="20">
        <f>IFERROR(IF($G219-$F219&lt;0,Control!$A218+1,Control!$A218),Control!$A218)</f>
        <v>46222</v>
      </c>
      <c r="F219" s="23">
        <f>VLOOKUP(Control!$A218,Roster1!$B$8:$AF$39,Control!$C218,TRUE)</f>
        <v>0.37986111111111115</v>
      </c>
      <c r="G219" s="23">
        <f>VLOOKUP(Control!$A218,Roster1!$B$8:$AF$39,Control!$D218,TRUE)</f>
        <v>0.79652777777777772</v>
      </c>
      <c r="H219" s="17" t="s">
        <v>73</v>
      </c>
      <c r="I219" s="17" t="s">
        <v>74</v>
      </c>
    </row>
    <row r="220" spans="1:9" x14ac:dyDescent="0.7">
      <c r="A220" s="19" t="str">
        <f>VLOOKUP(Control!A219,Roster1!$B$8:$AF$39,Control!B219,TRUE)</f>
        <v>RR</v>
      </c>
      <c r="B220" s="17" t="s">
        <v>75</v>
      </c>
      <c r="C220" s="17"/>
      <c r="D220" s="20">
        <f>Control!$A219</f>
        <v>46223</v>
      </c>
      <c r="E220" s="20">
        <f>IFERROR(IF($G220-$F220&lt;0,Control!$A219+1,Control!$A219),Control!$A219)</f>
        <v>46223</v>
      </c>
      <c r="F220" s="23">
        <f>VLOOKUP(Control!$A219,Roster1!$B$8:$AF$39,Control!$C219,TRUE)</f>
        <v>0.49166666666666664</v>
      </c>
      <c r="G220" s="23">
        <f>VLOOKUP(Control!$A219,Roster1!$B$8:$AF$39,Control!$D219,TRUE)</f>
        <v>0.8666666666666667</v>
      </c>
      <c r="H220" s="17" t="s">
        <v>73</v>
      </c>
      <c r="I220" s="17" t="s">
        <v>74</v>
      </c>
    </row>
    <row r="221" spans="1:9" x14ac:dyDescent="0.7">
      <c r="A221" s="19" t="str">
        <f>VLOOKUP(Control!A220,Roster1!$B$8:$AF$39,Control!B220,TRUE)</f>
        <v>CU  904</v>
      </c>
      <c r="B221" s="17" t="s">
        <v>75</v>
      </c>
      <c r="C221" s="17"/>
      <c r="D221" s="20">
        <f>Control!$A220</f>
        <v>46224</v>
      </c>
      <c r="E221" s="20">
        <f>IFERROR(IF($G221-$F221&lt;0,Control!$A220+1,Control!$A220),Control!$A220)</f>
        <v>46224</v>
      </c>
      <c r="F221" s="23">
        <f>VLOOKUP(Control!$A220,Roster1!$B$8:$AF$39,Control!$C220,TRUE)</f>
        <v>0.45833333333333331</v>
      </c>
      <c r="G221" s="23">
        <f>VLOOKUP(Control!$A220,Roster1!$B$8:$AF$39,Control!$D220,TRUE)</f>
        <v>0.74930555555555556</v>
      </c>
      <c r="H221" s="17" t="s">
        <v>73</v>
      </c>
      <c r="I221" s="17" t="s">
        <v>74</v>
      </c>
    </row>
    <row r="222" spans="1:9" x14ac:dyDescent="0.7">
      <c r="A222" s="19" t="str">
        <f>VLOOKUP(Control!A221,Roster1!$B$8:$AF$39,Control!B221,TRUE)</f>
        <v>CU  904</v>
      </c>
      <c r="B222" s="17" t="s">
        <v>75</v>
      </c>
      <c r="C222" s="17"/>
      <c r="D222" s="20">
        <f>Control!$A221</f>
        <v>46225</v>
      </c>
      <c r="E222" s="20">
        <f>IFERROR(IF($G222-$F222&lt;0,Control!$A221+1,Control!$A221),Control!$A221)</f>
        <v>46225</v>
      </c>
      <c r="F222" s="23">
        <f>VLOOKUP(Control!$A221,Roster1!$B$8:$AF$39,Control!$C221,TRUE)</f>
        <v>0.45833333333333331</v>
      </c>
      <c r="G222" s="23">
        <f>VLOOKUP(Control!$A221,Roster1!$B$8:$AF$39,Control!$D221,TRUE)</f>
        <v>0.74930555555555556</v>
      </c>
      <c r="H222" s="17" t="s">
        <v>73</v>
      </c>
      <c r="I222" s="17" t="s">
        <v>74</v>
      </c>
    </row>
    <row r="223" spans="1:9" x14ac:dyDescent="0.7">
      <c r="A223" s="19" t="str">
        <f>VLOOKUP(Control!A222,Roster1!$B$8:$AF$39,Control!B222,TRUE)</f>
        <v>RD</v>
      </c>
      <c r="B223" s="17" t="s">
        <v>75</v>
      </c>
      <c r="C223" s="17"/>
      <c r="D223" s="20">
        <f>Control!$A222</f>
        <v>46226</v>
      </c>
      <c r="E223" s="20">
        <f>IFERROR(IF($G223-$F223&lt;0,Control!$A222+1,Control!$A222),Control!$A222)</f>
        <v>46226</v>
      </c>
      <c r="F223" s="23">
        <f>VLOOKUP(Control!$A222,Roster1!$B$8:$AF$39,Control!$C222,TRUE)</f>
        <v>0</v>
      </c>
      <c r="G223" s="23">
        <f>VLOOKUP(Control!$A222,Roster1!$B$8:$AF$39,Control!$D222,TRUE)</f>
        <v>0</v>
      </c>
      <c r="H223" s="17" t="s">
        <v>73</v>
      </c>
      <c r="I223" s="17" t="s">
        <v>74</v>
      </c>
    </row>
    <row r="224" spans="1:9" x14ac:dyDescent="0.7">
      <c r="A224" s="19" t="str">
        <f>VLOOKUP(Control!A223,Roster1!$B$8:$AF$39,Control!B223,TRUE)</f>
        <v>RD</v>
      </c>
      <c r="B224" s="17" t="s">
        <v>75</v>
      </c>
      <c r="C224" s="17"/>
      <c r="D224" s="20">
        <f>Control!$A223</f>
        <v>46227</v>
      </c>
      <c r="E224" s="20">
        <f>IFERROR(IF($G224-$F224&lt;0,Control!$A223+1,Control!$A223),Control!$A223)</f>
        <v>46227</v>
      </c>
      <c r="F224" s="23">
        <f>VLOOKUP(Control!$A223,Roster1!$B$8:$AF$39,Control!$C223,TRUE)</f>
        <v>0</v>
      </c>
      <c r="G224" s="23">
        <f>VLOOKUP(Control!$A223,Roster1!$B$8:$AF$39,Control!$D223,TRUE)</f>
        <v>0</v>
      </c>
      <c r="H224" s="17" t="s">
        <v>73</v>
      </c>
      <c r="I224" s="17" t="s">
        <v>74</v>
      </c>
    </row>
    <row r="225" spans="1:9" x14ac:dyDescent="0.7">
      <c r="A225" s="19" t="str">
        <f>VLOOKUP(Control!A224,Roster1!$B$8:$AF$39,Control!B224,TRUE)</f>
        <v>RD</v>
      </c>
      <c r="B225" s="17" t="s">
        <v>75</v>
      </c>
      <c r="C225" s="17"/>
      <c r="D225" s="20">
        <f>Control!$A224</f>
        <v>46228</v>
      </c>
      <c r="E225" s="20">
        <f>IFERROR(IF($G225-$F225&lt;0,Control!$A224+1,Control!$A224),Control!$A224)</f>
        <v>46228</v>
      </c>
      <c r="F225" s="23" t="str">
        <f>VLOOKUP(Control!$A224,Roster1!$B$8:$AF$39,Control!$C224,TRUE)</f>
        <v/>
      </c>
      <c r="G225" s="23" t="str">
        <f>VLOOKUP(Control!$A224,Roster1!$B$8:$AF$39,Control!$D224,TRUE)</f>
        <v/>
      </c>
      <c r="H225" s="17" t="s">
        <v>73</v>
      </c>
      <c r="I225" s="17" t="s">
        <v>74</v>
      </c>
    </row>
    <row r="226" spans="1:9" x14ac:dyDescent="0.7">
      <c r="A226" s="19" t="str">
        <f>VLOOKUP(Control!A225,Roster1!$B$8:$AF$39,Control!B225,TRUE)</f>
        <v>SP</v>
      </c>
      <c r="B226" s="17" t="s">
        <v>75</v>
      </c>
      <c r="C226" s="17"/>
      <c r="D226" s="20">
        <f>Control!$A225</f>
        <v>46229</v>
      </c>
      <c r="E226" s="20">
        <f>IFERROR(IF($G226-$F226&lt;0,Control!$A225+1,Control!$A225),Control!$A225)</f>
        <v>46230</v>
      </c>
      <c r="F226" s="23">
        <f>VLOOKUP(Control!$A225,Roster1!$B$8:$AF$39,Control!$C225,TRUE)</f>
        <v>0.81527777777777777</v>
      </c>
      <c r="G226" s="23">
        <f>VLOOKUP(Control!$A225,Roster1!$B$8:$AF$39,Control!$D225,TRUE)</f>
        <v>0.23194444444444443</v>
      </c>
      <c r="H226" s="17" t="s">
        <v>73</v>
      </c>
      <c r="I226" s="17" t="s">
        <v>74</v>
      </c>
    </row>
    <row r="227" spans="1:9" x14ac:dyDescent="0.7">
      <c r="A227" s="19" t="str">
        <f>VLOOKUP(Control!A226,Roster1!$B$8:$AF$39,Control!B226,TRUE)</f>
        <v>SP</v>
      </c>
      <c r="B227" s="17" t="s">
        <v>75</v>
      </c>
      <c r="C227" s="17"/>
      <c r="D227" s="20">
        <f>Control!$A226</f>
        <v>46230</v>
      </c>
      <c r="E227" s="20">
        <f>IFERROR(IF($G227-$F227&lt;0,Control!$A226+1,Control!$A226),Control!$A226)</f>
        <v>46231</v>
      </c>
      <c r="F227" s="23">
        <f>VLOOKUP(Control!$A226,Roster1!$B$8:$AF$39,Control!$C226,TRUE)</f>
        <v>0.78333333333333333</v>
      </c>
      <c r="G227" s="23">
        <f>VLOOKUP(Control!$A226,Roster1!$B$8:$AF$39,Control!$D226,TRUE)</f>
        <v>0.19999999999999998</v>
      </c>
      <c r="H227" s="17" t="s">
        <v>73</v>
      </c>
      <c r="I227" s="17" t="s">
        <v>74</v>
      </c>
    </row>
    <row r="228" spans="1:9" x14ac:dyDescent="0.7">
      <c r="A228" s="19" t="str">
        <f>VLOOKUP(Control!A227,Roster1!$B$8:$AF$39,Control!B227,TRUE)</f>
        <v>SP</v>
      </c>
      <c r="B228" s="17" t="s">
        <v>75</v>
      </c>
      <c r="C228" s="17"/>
      <c r="D228" s="20">
        <f>Control!$A227</f>
        <v>46231</v>
      </c>
      <c r="E228" s="20">
        <f>IFERROR(IF($G228-$F228&lt;0,Control!$A227+1,Control!$A227),Control!$A227)</f>
        <v>46232</v>
      </c>
      <c r="F228" s="23">
        <f>VLOOKUP(Control!$A227,Roster1!$B$8:$AF$39,Control!$C227,TRUE)</f>
        <v>0.70000000000000007</v>
      </c>
      <c r="G228" s="23">
        <f>VLOOKUP(Control!$A227,Roster1!$B$8:$AF$39,Control!$D227,TRUE)</f>
        <v>0.11666666666666667</v>
      </c>
      <c r="H228" s="17" t="s">
        <v>73</v>
      </c>
      <c r="I228" s="17" t="s">
        <v>74</v>
      </c>
    </row>
    <row r="229" spans="1:9" x14ac:dyDescent="0.7">
      <c r="A229" s="19" t="str">
        <f>VLOOKUP(Control!A228,Roster1!$B$8:$AF$39,Control!B228,TRUE)</f>
        <v>CU  908</v>
      </c>
      <c r="B229" s="17" t="s">
        <v>75</v>
      </c>
      <c r="C229" s="17"/>
      <c r="D229" s="20">
        <f>Control!$A228</f>
        <v>46232</v>
      </c>
      <c r="E229" s="20">
        <f>IFERROR(IF($G229-$F229&lt;0,Control!$A228+1,Control!$A228),Control!$A228)</f>
        <v>46233</v>
      </c>
      <c r="F229" s="23">
        <f>VLOOKUP(Control!$A228,Roster1!$B$8:$AF$39,Control!$C228,TRUE)</f>
        <v>0.8208333333333333</v>
      </c>
      <c r="G229" s="23">
        <f>VLOOKUP(Control!$A228,Roster1!$B$8:$AF$39,Control!$D228,TRUE)</f>
        <v>0.16805555555555557</v>
      </c>
      <c r="H229" s="17" t="s">
        <v>73</v>
      </c>
      <c r="I229" s="17" t="s">
        <v>74</v>
      </c>
    </row>
    <row r="230" spans="1:9" x14ac:dyDescent="0.7">
      <c r="A230" s="19" t="str">
        <f>VLOOKUP(Control!A229,Roster1!$B$8:$AF$39,Control!B229,TRUE)</f>
        <v>CU  909</v>
      </c>
      <c r="B230" s="17" t="s">
        <v>75</v>
      </c>
      <c r="C230" s="17"/>
      <c r="D230" s="20">
        <f>Control!$A229</f>
        <v>46233</v>
      </c>
      <c r="E230" s="20">
        <f>IFERROR(IF($G230-$F230&lt;0,Control!$A229+1,Control!$A229),Control!$A229)</f>
        <v>46234</v>
      </c>
      <c r="F230" s="23">
        <f>VLOOKUP(Control!$A229,Roster1!$B$8:$AF$39,Control!$C229,TRUE)</f>
        <v>0.70972222222222225</v>
      </c>
      <c r="G230" s="23">
        <f>VLOOKUP(Control!$A229,Roster1!$B$8:$AF$39,Control!$D229,TRUE)</f>
        <v>9.0277777777777769E-3</v>
      </c>
      <c r="H230" s="17" t="s">
        <v>73</v>
      </c>
      <c r="I230" s="17" t="s">
        <v>74</v>
      </c>
    </row>
    <row r="231" spans="1:9" x14ac:dyDescent="0.7">
      <c r="A231" s="19" t="str">
        <f>VLOOKUP(Control!A230,Roster1!$B$8:$AF$39,Control!B230,TRUE)</f>
        <v>RD</v>
      </c>
      <c r="B231" s="17" t="s">
        <v>75</v>
      </c>
      <c r="C231" s="17"/>
      <c r="D231" s="20">
        <f>Control!$A230</f>
        <v>46234</v>
      </c>
      <c r="E231" s="20">
        <f>IFERROR(IF($G231-$F231&lt;0,Control!$A230+1,Control!$A230),Control!$A230)</f>
        <v>46234</v>
      </c>
      <c r="F231" s="23">
        <f>VLOOKUP(Control!$A230,Roster1!$B$8:$AF$39,Control!$C230,TRUE)</f>
        <v>0</v>
      </c>
      <c r="G231" s="23">
        <f>VLOOKUP(Control!$A230,Roster1!$B$8:$AF$39,Control!$D230,TRUE)</f>
        <v>0</v>
      </c>
      <c r="H231" s="17" t="s">
        <v>73</v>
      </c>
      <c r="I231" s="17" t="s">
        <v>74</v>
      </c>
    </row>
    <row r="232" spans="1:9" x14ac:dyDescent="0.7">
      <c r="A232" s="19" t="str">
        <f>VLOOKUP(Control!A231,Roster1!$B$8:$AF$39,Control!B231,TRUE)</f>
        <v>RD</v>
      </c>
      <c r="B232" s="17" t="s">
        <v>75</v>
      </c>
      <c r="C232" s="17"/>
      <c r="D232" s="20">
        <f>Control!$A231</f>
        <v>46235</v>
      </c>
      <c r="E232" s="20">
        <f>IFERROR(IF($G232-$F232&lt;0,Control!$A231+1,Control!$A231),Control!$A231)</f>
        <v>46235</v>
      </c>
      <c r="F232" s="23" t="str">
        <f>VLOOKUP(Control!$A231,Roster1!$B$8:$AF$39,Control!$C231,TRUE)</f>
        <v/>
      </c>
      <c r="G232" s="23" t="str">
        <f>VLOOKUP(Control!$A231,Roster1!$B$8:$AF$39,Control!$D231,TRUE)</f>
        <v/>
      </c>
      <c r="H232" s="17" t="s">
        <v>73</v>
      </c>
      <c r="I232" s="17" t="s">
        <v>74</v>
      </c>
    </row>
    <row r="233" spans="1:9" x14ac:dyDescent="0.7">
      <c r="F233" s="16"/>
      <c r="G233" s="16"/>
    </row>
    <row r="234" spans="1:9" x14ac:dyDescent="0.7">
      <c r="F234" s="16"/>
      <c r="G234" s="16"/>
    </row>
    <row r="235" spans="1:9" x14ac:dyDescent="0.7">
      <c r="F235" s="16"/>
      <c r="G235" s="16"/>
    </row>
    <row r="236" spans="1:9" x14ac:dyDescent="0.7">
      <c r="F236" s="16"/>
      <c r="G236" s="16"/>
    </row>
    <row r="237" spans="1:9" x14ac:dyDescent="0.7">
      <c r="F237" s="16"/>
      <c r="G237" s="16"/>
    </row>
    <row r="238" spans="1:9" x14ac:dyDescent="0.7">
      <c r="F238" s="16"/>
      <c r="G238" s="16"/>
    </row>
    <row r="239" spans="1:9" x14ac:dyDescent="0.7">
      <c r="F239" s="16"/>
      <c r="G239" s="16"/>
    </row>
    <row r="240" spans="1:9" x14ac:dyDescent="0.7">
      <c r="F240" s="16"/>
      <c r="G240" s="16"/>
    </row>
    <row r="241" s="16" customFormat="1" x14ac:dyDescent="0.7"/>
    <row r="242" s="16" customFormat="1" x14ac:dyDescent="0.7"/>
    <row r="243" s="16" customFormat="1" x14ac:dyDescent="0.7"/>
    <row r="244" s="16" customFormat="1" x14ac:dyDescent="0.7"/>
    <row r="245" s="16" customFormat="1" x14ac:dyDescent="0.7"/>
    <row r="246" s="16" customFormat="1" x14ac:dyDescent="0.7"/>
    <row r="247" s="16" customFormat="1" x14ac:dyDescent="0.7"/>
    <row r="248" s="16" customFormat="1" x14ac:dyDescent="0.7"/>
    <row r="249" s="16" customFormat="1" x14ac:dyDescent="0.7"/>
    <row r="250" s="16" customFormat="1" x14ac:dyDescent="0.7"/>
    <row r="251" s="16" customFormat="1" x14ac:dyDescent="0.7"/>
    <row r="252" s="16" customFormat="1" x14ac:dyDescent="0.7"/>
    <row r="253" s="16" customFormat="1" x14ac:dyDescent="0.7"/>
    <row r="254" s="16" customFormat="1" x14ac:dyDescent="0.7"/>
    <row r="255" s="16" customFormat="1" x14ac:dyDescent="0.7"/>
    <row r="256" s="16" customFormat="1" x14ac:dyDescent="0.7"/>
    <row r="257" s="16" customFormat="1" x14ac:dyDescent="0.7"/>
    <row r="258" s="16" customFormat="1" x14ac:dyDescent="0.7"/>
    <row r="259" s="16" customFormat="1" x14ac:dyDescent="0.7"/>
    <row r="260" s="16" customFormat="1" x14ac:dyDescent="0.7"/>
    <row r="261" s="16" customFormat="1" x14ac:dyDescent="0.7"/>
    <row r="262" s="16" customFormat="1" x14ac:dyDescent="0.7"/>
    <row r="263" s="16" customFormat="1" x14ac:dyDescent="0.7"/>
    <row r="264" s="16" customFormat="1" x14ac:dyDescent="0.7"/>
    <row r="265" s="16" customFormat="1" x14ac:dyDescent="0.7"/>
  </sheetData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F1E10-AF03-4745-9728-526659029CD1}">
  <dimension ref="A1:D231"/>
  <sheetViews>
    <sheetView topLeftCell="A183" workbookViewId="0">
      <selection activeCell="D198" sqref="D198"/>
    </sheetView>
  </sheetViews>
  <sheetFormatPr defaultColWidth="9" defaultRowHeight="17.600000000000001" x14ac:dyDescent="0.4"/>
  <cols>
    <col min="1" max="1" width="13.5" style="21" bestFit="1" customWidth="1"/>
    <col min="2" max="10" width="9" style="21"/>
    <col min="11" max="11" width="13.5" style="21" bestFit="1" customWidth="1"/>
    <col min="12" max="16384" width="9" style="21"/>
  </cols>
  <sheetData>
    <row r="1" spans="1:4" x14ac:dyDescent="0.4">
      <c r="A1" s="22">
        <v>46005</v>
      </c>
      <c r="B1" s="21">
        <v>6</v>
      </c>
      <c r="C1" s="21">
        <v>4</v>
      </c>
      <c r="D1" s="21">
        <v>5</v>
      </c>
    </row>
    <row r="2" spans="1:4" x14ac:dyDescent="0.4">
      <c r="A2" s="22">
        <v>46006</v>
      </c>
      <c r="B2" s="21">
        <v>10</v>
      </c>
      <c r="C2" s="21">
        <v>8</v>
      </c>
      <c r="D2" s="21">
        <v>9</v>
      </c>
    </row>
    <row r="3" spans="1:4" x14ac:dyDescent="0.4">
      <c r="A3" s="22">
        <v>46007</v>
      </c>
      <c r="B3" s="21">
        <v>14</v>
      </c>
      <c r="C3" s="21">
        <v>12</v>
      </c>
      <c r="D3" s="21">
        <v>13</v>
      </c>
    </row>
    <row r="4" spans="1:4" x14ac:dyDescent="0.4">
      <c r="A4" s="22">
        <v>46008</v>
      </c>
      <c r="B4" s="21">
        <v>18</v>
      </c>
      <c r="C4" s="21">
        <v>16</v>
      </c>
      <c r="D4" s="21">
        <v>17</v>
      </c>
    </row>
    <row r="5" spans="1:4" x14ac:dyDescent="0.4">
      <c r="A5" s="22">
        <v>46009</v>
      </c>
      <c r="B5" s="21">
        <v>22</v>
      </c>
      <c r="C5" s="21">
        <v>20</v>
      </c>
      <c r="D5" s="21">
        <v>21</v>
      </c>
    </row>
    <row r="6" spans="1:4" x14ac:dyDescent="0.4">
      <c r="A6" s="22">
        <v>46010</v>
      </c>
      <c r="B6" s="21">
        <v>26</v>
      </c>
      <c r="C6" s="21">
        <v>24</v>
      </c>
      <c r="D6" s="21">
        <v>25</v>
      </c>
    </row>
    <row r="7" spans="1:4" x14ac:dyDescent="0.4">
      <c r="A7" s="22">
        <v>46011</v>
      </c>
      <c r="B7" s="21">
        <v>30</v>
      </c>
      <c r="C7" s="21">
        <v>28</v>
      </c>
      <c r="D7" s="21">
        <v>29</v>
      </c>
    </row>
    <row r="8" spans="1:4" x14ac:dyDescent="0.4">
      <c r="A8" s="22">
        <v>46012</v>
      </c>
      <c r="B8" s="21">
        <v>6</v>
      </c>
      <c r="C8" s="21">
        <v>4</v>
      </c>
      <c r="D8" s="21">
        <v>5</v>
      </c>
    </row>
    <row r="9" spans="1:4" x14ac:dyDescent="0.4">
      <c r="A9" s="22">
        <v>46013</v>
      </c>
      <c r="B9" s="21">
        <v>10</v>
      </c>
      <c r="C9" s="21">
        <v>8</v>
      </c>
      <c r="D9" s="21">
        <v>9</v>
      </c>
    </row>
    <row r="10" spans="1:4" x14ac:dyDescent="0.4">
      <c r="A10" s="22">
        <v>46014</v>
      </c>
      <c r="B10" s="21">
        <v>14</v>
      </c>
      <c r="C10" s="21">
        <v>12</v>
      </c>
      <c r="D10" s="21">
        <v>13</v>
      </c>
    </row>
    <row r="11" spans="1:4" x14ac:dyDescent="0.4">
      <c r="A11" s="22">
        <v>46015</v>
      </c>
      <c r="B11" s="21">
        <v>18</v>
      </c>
      <c r="C11" s="21">
        <v>16</v>
      </c>
      <c r="D11" s="21">
        <v>17</v>
      </c>
    </row>
    <row r="12" spans="1:4" x14ac:dyDescent="0.4">
      <c r="A12" s="22">
        <v>46016</v>
      </c>
      <c r="B12" s="21">
        <v>22</v>
      </c>
      <c r="C12" s="21">
        <v>20</v>
      </c>
      <c r="D12" s="21">
        <v>21</v>
      </c>
    </row>
    <row r="13" spans="1:4" x14ac:dyDescent="0.4">
      <c r="A13" s="22">
        <v>46017</v>
      </c>
      <c r="B13" s="21">
        <v>26</v>
      </c>
      <c r="C13" s="21">
        <v>24</v>
      </c>
      <c r="D13" s="21">
        <v>25</v>
      </c>
    </row>
    <row r="14" spans="1:4" x14ac:dyDescent="0.4">
      <c r="A14" s="22">
        <v>46018</v>
      </c>
      <c r="B14" s="21">
        <v>30</v>
      </c>
      <c r="C14" s="21">
        <v>28</v>
      </c>
      <c r="D14" s="21">
        <v>29</v>
      </c>
    </row>
    <row r="15" spans="1:4" x14ac:dyDescent="0.4">
      <c r="A15" s="22">
        <v>46019</v>
      </c>
      <c r="B15" s="21">
        <v>6</v>
      </c>
      <c r="C15" s="21">
        <v>4</v>
      </c>
      <c r="D15" s="21">
        <v>5</v>
      </c>
    </row>
    <row r="16" spans="1:4" x14ac:dyDescent="0.4">
      <c r="A16" s="22">
        <v>46020</v>
      </c>
      <c r="B16" s="21">
        <v>10</v>
      </c>
      <c r="C16" s="21">
        <v>8</v>
      </c>
      <c r="D16" s="21">
        <v>9</v>
      </c>
    </row>
    <row r="17" spans="1:4" x14ac:dyDescent="0.4">
      <c r="A17" s="22">
        <v>46021</v>
      </c>
      <c r="B17" s="21">
        <v>14</v>
      </c>
      <c r="C17" s="21">
        <v>12</v>
      </c>
      <c r="D17" s="21">
        <v>13</v>
      </c>
    </row>
    <row r="18" spans="1:4" x14ac:dyDescent="0.4">
      <c r="A18" s="22">
        <v>46022</v>
      </c>
      <c r="B18" s="21">
        <v>18</v>
      </c>
      <c r="C18" s="21">
        <v>16</v>
      </c>
      <c r="D18" s="21">
        <v>17</v>
      </c>
    </row>
    <row r="19" spans="1:4" x14ac:dyDescent="0.4">
      <c r="A19" s="22">
        <v>46023</v>
      </c>
      <c r="B19" s="21">
        <v>22</v>
      </c>
      <c r="C19" s="21">
        <v>20</v>
      </c>
      <c r="D19" s="21">
        <v>21</v>
      </c>
    </row>
    <row r="20" spans="1:4" x14ac:dyDescent="0.4">
      <c r="A20" s="22">
        <v>46024</v>
      </c>
      <c r="B20" s="21">
        <v>26</v>
      </c>
      <c r="C20" s="21">
        <v>24</v>
      </c>
      <c r="D20" s="21">
        <v>25</v>
      </c>
    </row>
    <row r="21" spans="1:4" x14ac:dyDescent="0.4">
      <c r="A21" s="22">
        <v>46025</v>
      </c>
      <c r="B21" s="21">
        <v>30</v>
      </c>
      <c r="C21" s="21">
        <v>28</v>
      </c>
      <c r="D21" s="21">
        <v>29</v>
      </c>
    </row>
    <row r="22" spans="1:4" x14ac:dyDescent="0.4">
      <c r="A22" s="22">
        <v>46026</v>
      </c>
      <c r="B22" s="21">
        <v>6</v>
      </c>
      <c r="C22" s="21">
        <v>4</v>
      </c>
      <c r="D22" s="21">
        <v>5</v>
      </c>
    </row>
    <row r="23" spans="1:4" x14ac:dyDescent="0.4">
      <c r="A23" s="22">
        <v>46027</v>
      </c>
      <c r="B23" s="21">
        <v>10</v>
      </c>
      <c r="C23" s="21">
        <v>8</v>
      </c>
      <c r="D23" s="21">
        <v>9</v>
      </c>
    </row>
    <row r="24" spans="1:4" x14ac:dyDescent="0.4">
      <c r="A24" s="22">
        <v>46028</v>
      </c>
      <c r="B24" s="21">
        <v>14</v>
      </c>
      <c r="C24" s="21">
        <v>12</v>
      </c>
      <c r="D24" s="21">
        <v>13</v>
      </c>
    </row>
    <row r="25" spans="1:4" x14ac:dyDescent="0.4">
      <c r="A25" s="22">
        <v>46029</v>
      </c>
      <c r="B25" s="21">
        <v>18</v>
      </c>
      <c r="C25" s="21">
        <v>16</v>
      </c>
      <c r="D25" s="21">
        <v>17</v>
      </c>
    </row>
    <row r="26" spans="1:4" x14ac:dyDescent="0.4">
      <c r="A26" s="22">
        <v>46030</v>
      </c>
      <c r="B26" s="21">
        <v>22</v>
      </c>
      <c r="C26" s="21">
        <v>20</v>
      </c>
      <c r="D26" s="21">
        <v>21</v>
      </c>
    </row>
    <row r="27" spans="1:4" x14ac:dyDescent="0.4">
      <c r="A27" s="22">
        <v>46031</v>
      </c>
      <c r="B27" s="21">
        <v>26</v>
      </c>
      <c r="C27" s="21">
        <v>24</v>
      </c>
      <c r="D27" s="21">
        <v>25</v>
      </c>
    </row>
    <row r="28" spans="1:4" x14ac:dyDescent="0.4">
      <c r="A28" s="22">
        <v>46032</v>
      </c>
      <c r="B28" s="21">
        <v>30</v>
      </c>
      <c r="C28" s="21">
        <v>28</v>
      </c>
      <c r="D28" s="21">
        <v>29</v>
      </c>
    </row>
    <row r="29" spans="1:4" x14ac:dyDescent="0.4">
      <c r="A29" s="22">
        <v>46033</v>
      </c>
      <c r="B29" s="21">
        <v>6</v>
      </c>
      <c r="C29" s="21">
        <v>4</v>
      </c>
      <c r="D29" s="21">
        <v>5</v>
      </c>
    </row>
    <row r="30" spans="1:4" x14ac:dyDescent="0.4">
      <c r="A30" s="22">
        <v>46034</v>
      </c>
      <c r="B30" s="21">
        <v>10</v>
      </c>
      <c r="C30" s="21">
        <v>8</v>
      </c>
      <c r="D30" s="21">
        <v>9</v>
      </c>
    </row>
    <row r="31" spans="1:4" x14ac:dyDescent="0.4">
      <c r="A31" s="22">
        <v>46035</v>
      </c>
      <c r="B31" s="21">
        <v>14</v>
      </c>
      <c r="C31" s="21">
        <v>12</v>
      </c>
      <c r="D31" s="21">
        <v>13</v>
      </c>
    </row>
    <row r="32" spans="1:4" x14ac:dyDescent="0.4">
      <c r="A32" s="22">
        <v>46036</v>
      </c>
      <c r="B32" s="21">
        <v>18</v>
      </c>
      <c r="C32" s="21">
        <v>16</v>
      </c>
      <c r="D32" s="21">
        <v>17</v>
      </c>
    </row>
    <row r="33" spans="1:4" x14ac:dyDescent="0.4">
      <c r="A33" s="22">
        <v>46037</v>
      </c>
      <c r="B33" s="21">
        <v>22</v>
      </c>
      <c r="C33" s="21">
        <v>20</v>
      </c>
      <c r="D33" s="21">
        <v>21</v>
      </c>
    </row>
    <row r="34" spans="1:4" x14ac:dyDescent="0.4">
      <c r="A34" s="22">
        <v>46038</v>
      </c>
      <c r="B34" s="21">
        <v>26</v>
      </c>
      <c r="C34" s="21">
        <v>24</v>
      </c>
      <c r="D34" s="21">
        <v>25</v>
      </c>
    </row>
    <row r="35" spans="1:4" x14ac:dyDescent="0.4">
      <c r="A35" s="22">
        <v>46039</v>
      </c>
      <c r="B35" s="21">
        <v>30</v>
      </c>
      <c r="C35" s="21">
        <v>28</v>
      </c>
      <c r="D35" s="21">
        <v>29</v>
      </c>
    </row>
    <row r="36" spans="1:4" x14ac:dyDescent="0.4">
      <c r="A36" s="22">
        <v>46040</v>
      </c>
      <c r="B36" s="21">
        <v>6</v>
      </c>
      <c r="C36" s="21">
        <v>4</v>
      </c>
      <c r="D36" s="21">
        <v>5</v>
      </c>
    </row>
    <row r="37" spans="1:4" x14ac:dyDescent="0.4">
      <c r="A37" s="22">
        <v>46041</v>
      </c>
      <c r="B37" s="21">
        <v>10</v>
      </c>
      <c r="C37" s="21">
        <v>8</v>
      </c>
      <c r="D37" s="21">
        <v>9</v>
      </c>
    </row>
    <row r="38" spans="1:4" x14ac:dyDescent="0.4">
      <c r="A38" s="22">
        <v>46042</v>
      </c>
      <c r="B38" s="21">
        <v>14</v>
      </c>
      <c r="C38" s="21">
        <v>12</v>
      </c>
      <c r="D38" s="21">
        <v>13</v>
      </c>
    </row>
    <row r="39" spans="1:4" x14ac:dyDescent="0.4">
      <c r="A39" s="22">
        <v>46043</v>
      </c>
      <c r="B39" s="21">
        <v>18</v>
      </c>
      <c r="C39" s="21">
        <v>16</v>
      </c>
      <c r="D39" s="21">
        <v>17</v>
      </c>
    </row>
    <row r="40" spans="1:4" x14ac:dyDescent="0.4">
      <c r="A40" s="22">
        <v>46044</v>
      </c>
      <c r="B40" s="21">
        <v>22</v>
      </c>
      <c r="C40" s="21">
        <v>20</v>
      </c>
      <c r="D40" s="21">
        <v>21</v>
      </c>
    </row>
    <row r="41" spans="1:4" x14ac:dyDescent="0.4">
      <c r="A41" s="22">
        <v>46045</v>
      </c>
      <c r="B41" s="21">
        <v>26</v>
      </c>
      <c r="C41" s="21">
        <v>24</v>
      </c>
      <c r="D41" s="21">
        <v>25</v>
      </c>
    </row>
    <row r="42" spans="1:4" x14ac:dyDescent="0.4">
      <c r="A42" s="22">
        <v>46046</v>
      </c>
      <c r="B42" s="21">
        <v>30</v>
      </c>
      <c r="C42" s="21">
        <v>28</v>
      </c>
      <c r="D42" s="21">
        <v>29</v>
      </c>
    </row>
    <row r="43" spans="1:4" x14ac:dyDescent="0.4">
      <c r="A43" s="22">
        <v>46047</v>
      </c>
      <c r="B43" s="21">
        <v>6</v>
      </c>
      <c r="C43" s="21">
        <v>4</v>
      </c>
      <c r="D43" s="21">
        <v>5</v>
      </c>
    </row>
    <row r="44" spans="1:4" x14ac:dyDescent="0.4">
      <c r="A44" s="22">
        <v>46048</v>
      </c>
      <c r="B44" s="21">
        <v>10</v>
      </c>
      <c r="C44" s="21">
        <v>8</v>
      </c>
      <c r="D44" s="21">
        <v>9</v>
      </c>
    </row>
    <row r="45" spans="1:4" x14ac:dyDescent="0.4">
      <c r="A45" s="22">
        <v>46049</v>
      </c>
      <c r="B45" s="21">
        <v>14</v>
      </c>
      <c r="C45" s="21">
        <v>12</v>
      </c>
      <c r="D45" s="21">
        <v>13</v>
      </c>
    </row>
    <row r="46" spans="1:4" x14ac:dyDescent="0.4">
      <c r="A46" s="22">
        <v>46050</v>
      </c>
      <c r="B46" s="21">
        <v>18</v>
      </c>
      <c r="C46" s="21">
        <v>16</v>
      </c>
      <c r="D46" s="21">
        <v>17</v>
      </c>
    </row>
    <row r="47" spans="1:4" x14ac:dyDescent="0.4">
      <c r="A47" s="22">
        <v>46051</v>
      </c>
      <c r="B47" s="21">
        <v>22</v>
      </c>
      <c r="C47" s="21">
        <v>20</v>
      </c>
      <c r="D47" s="21">
        <v>21</v>
      </c>
    </row>
    <row r="48" spans="1:4" x14ac:dyDescent="0.4">
      <c r="A48" s="22">
        <v>46052</v>
      </c>
      <c r="B48" s="21">
        <v>26</v>
      </c>
      <c r="C48" s="21">
        <v>24</v>
      </c>
      <c r="D48" s="21">
        <v>25</v>
      </c>
    </row>
    <row r="49" spans="1:4" x14ac:dyDescent="0.4">
      <c r="A49" s="22">
        <v>46053</v>
      </c>
      <c r="B49" s="21">
        <v>30</v>
      </c>
      <c r="C49" s="21">
        <v>28</v>
      </c>
      <c r="D49" s="21">
        <v>29</v>
      </c>
    </row>
    <row r="50" spans="1:4" x14ac:dyDescent="0.4">
      <c r="A50" s="22">
        <v>46054</v>
      </c>
      <c r="B50" s="21">
        <v>6</v>
      </c>
      <c r="C50" s="21">
        <v>4</v>
      </c>
      <c r="D50" s="21">
        <v>5</v>
      </c>
    </row>
    <row r="51" spans="1:4" x14ac:dyDescent="0.4">
      <c r="A51" s="22">
        <v>46055</v>
      </c>
      <c r="B51" s="21">
        <v>10</v>
      </c>
      <c r="C51" s="21">
        <v>8</v>
      </c>
      <c r="D51" s="21">
        <v>9</v>
      </c>
    </row>
    <row r="52" spans="1:4" x14ac:dyDescent="0.4">
      <c r="A52" s="22">
        <v>46056</v>
      </c>
      <c r="B52" s="21">
        <v>14</v>
      </c>
      <c r="C52" s="21">
        <v>12</v>
      </c>
      <c r="D52" s="21">
        <v>13</v>
      </c>
    </row>
    <row r="53" spans="1:4" x14ac:dyDescent="0.4">
      <c r="A53" s="22">
        <v>46057</v>
      </c>
      <c r="B53" s="21">
        <v>18</v>
      </c>
      <c r="C53" s="21">
        <v>16</v>
      </c>
      <c r="D53" s="21">
        <v>17</v>
      </c>
    </row>
    <row r="54" spans="1:4" x14ac:dyDescent="0.4">
      <c r="A54" s="22">
        <v>46058</v>
      </c>
      <c r="B54" s="21">
        <v>22</v>
      </c>
      <c r="C54" s="21">
        <v>20</v>
      </c>
      <c r="D54" s="21">
        <v>21</v>
      </c>
    </row>
    <row r="55" spans="1:4" x14ac:dyDescent="0.4">
      <c r="A55" s="22">
        <v>46059</v>
      </c>
      <c r="B55" s="21">
        <v>26</v>
      </c>
      <c r="C55" s="21">
        <v>24</v>
      </c>
      <c r="D55" s="21">
        <v>25</v>
      </c>
    </row>
    <row r="56" spans="1:4" x14ac:dyDescent="0.4">
      <c r="A56" s="22">
        <v>46060</v>
      </c>
      <c r="B56" s="21">
        <v>30</v>
      </c>
      <c r="C56" s="21">
        <v>28</v>
      </c>
      <c r="D56" s="21">
        <v>29</v>
      </c>
    </row>
    <row r="57" spans="1:4" x14ac:dyDescent="0.4">
      <c r="A57" s="22">
        <v>46061</v>
      </c>
      <c r="B57" s="21">
        <v>6</v>
      </c>
      <c r="C57" s="21">
        <v>4</v>
      </c>
      <c r="D57" s="21">
        <v>5</v>
      </c>
    </row>
    <row r="58" spans="1:4" x14ac:dyDescent="0.4">
      <c r="A58" s="22">
        <v>46062</v>
      </c>
      <c r="B58" s="21">
        <v>10</v>
      </c>
      <c r="C58" s="21">
        <v>8</v>
      </c>
      <c r="D58" s="21">
        <v>9</v>
      </c>
    </row>
    <row r="59" spans="1:4" x14ac:dyDescent="0.4">
      <c r="A59" s="22">
        <v>46063</v>
      </c>
      <c r="B59" s="21">
        <v>14</v>
      </c>
      <c r="C59" s="21">
        <v>12</v>
      </c>
      <c r="D59" s="21">
        <v>13</v>
      </c>
    </row>
    <row r="60" spans="1:4" x14ac:dyDescent="0.4">
      <c r="A60" s="22">
        <v>46064</v>
      </c>
      <c r="B60" s="21">
        <v>18</v>
      </c>
      <c r="C60" s="21">
        <v>16</v>
      </c>
      <c r="D60" s="21">
        <v>17</v>
      </c>
    </row>
    <row r="61" spans="1:4" x14ac:dyDescent="0.4">
      <c r="A61" s="22">
        <v>46065</v>
      </c>
      <c r="B61" s="21">
        <v>22</v>
      </c>
      <c r="C61" s="21">
        <v>20</v>
      </c>
      <c r="D61" s="21">
        <v>21</v>
      </c>
    </row>
    <row r="62" spans="1:4" x14ac:dyDescent="0.4">
      <c r="A62" s="22">
        <v>46066</v>
      </c>
      <c r="B62" s="21">
        <v>26</v>
      </c>
      <c r="C62" s="21">
        <v>24</v>
      </c>
      <c r="D62" s="21">
        <v>25</v>
      </c>
    </row>
    <row r="63" spans="1:4" x14ac:dyDescent="0.4">
      <c r="A63" s="22">
        <v>46067</v>
      </c>
      <c r="B63" s="21">
        <v>30</v>
      </c>
      <c r="C63" s="21">
        <v>28</v>
      </c>
      <c r="D63" s="21">
        <v>29</v>
      </c>
    </row>
    <row r="64" spans="1:4" x14ac:dyDescent="0.4">
      <c r="A64" s="22">
        <v>46068</v>
      </c>
      <c r="B64" s="21">
        <v>6</v>
      </c>
      <c r="C64" s="21">
        <v>4</v>
      </c>
      <c r="D64" s="21">
        <v>5</v>
      </c>
    </row>
    <row r="65" spans="1:4" x14ac:dyDescent="0.4">
      <c r="A65" s="22">
        <v>46069</v>
      </c>
      <c r="B65" s="21">
        <v>10</v>
      </c>
      <c r="C65" s="21">
        <v>8</v>
      </c>
      <c r="D65" s="21">
        <v>9</v>
      </c>
    </row>
    <row r="66" spans="1:4" x14ac:dyDescent="0.4">
      <c r="A66" s="22">
        <v>46070</v>
      </c>
      <c r="B66" s="21">
        <v>14</v>
      </c>
      <c r="C66" s="21">
        <v>12</v>
      </c>
      <c r="D66" s="21">
        <v>13</v>
      </c>
    </row>
    <row r="67" spans="1:4" x14ac:dyDescent="0.4">
      <c r="A67" s="22">
        <v>46071</v>
      </c>
      <c r="B67" s="21">
        <v>18</v>
      </c>
      <c r="C67" s="21">
        <v>16</v>
      </c>
      <c r="D67" s="21">
        <v>17</v>
      </c>
    </row>
    <row r="68" spans="1:4" x14ac:dyDescent="0.4">
      <c r="A68" s="22">
        <v>46072</v>
      </c>
      <c r="B68" s="21">
        <v>22</v>
      </c>
      <c r="C68" s="21">
        <v>20</v>
      </c>
      <c r="D68" s="21">
        <v>21</v>
      </c>
    </row>
    <row r="69" spans="1:4" x14ac:dyDescent="0.4">
      <c r="A69" s="22">
        <v>46073</v>
      </c>
      <c r="B69" s="21">
        <v>26</v>
      </c>
      <c r="C69" s="21">
        <v>24</v>
      </c>
      <c r="D69" s="21">
        <v>25</v>
      </c>
    </row>
    <row r="70" spans="1:4" x14ac:dyDescent="0.4">
      <c r="A70" s="22">
        <v>46074</v>
      </c>
      <c r="B70" s="21">
        <v>30</v>
      </c>
      <c r="C70" s="21">
        <v>28</v>
      </c>
      <c r="D70" s="21">
        <v>29</v>
      </c>
    </row>
    <row r="71" spans="1:4" x14ac:dyDescent="0.4">
      <c r="A71" s="22">
        <v>46075</v>
      </c>
      <c r="B71" s="21">
        <v>6</v>
      </c>
      <c r="C71" s="21">
        <v>4</v>
      </c>
      <c r="D71" s="21">
        <v>5</v>
      </c>
    </row>
    <row r="72" spans="1:4" x14ac:dyDescent="0.4">
      <c r="A72" s="22">
        <v>46076</v>
      </c>
      <c r="B72" s="21">
        <v>10</v>
      </c>
      <c r="C72" s="21">
        <v>8</v>
      </c>
      <c r="D72" s="21">
        <v>9</v>
      </c>
    </row>
    <row r="73" spans="1:4" x14ac:dyDescent="0.4">
      <c r="A73" s="22">
        <v>46077</v>
      </c>
      <c r="B73" s="21">
        <v>14</v>
      </c>
      <c r="C73" s="21">
        <v>12</v>
      </c>
      <c r="D73" s="21">
        <v>13</v>
      </c>
    </row>
    <row r="74" spans="1:4" x14ac:dyDescent="0.4">
      <c r="A74" s="22">
        <v>46078</v>
      </c>
      <c r="B74" s="21">
        <v>18</v>
      </c>
      <c r="C74" s="21">
        <v>16</v>
      </c>
      <c r="D74" s="21">
        <v>17</v>
      </c>
    </row>
    <row r="75" spans="1:4" x14ac:dyDescent="0.4">
      <c r="A75" s="22">
        <v>46079</v>
      </c>
      <c r="B75" s="21">
        <v>22</v>
      </c>
      <c r="C75" s="21">
        <v>20</v>
      </c>
      <c r="D75" s="21">
        <v>21</v>
      </c>
    </row>
    <row r="76" spans="1:4" x14ac:dyDescent="0.4">
      <c r="A76" s="22">
        <v>46080</v>
      </c>
      <c r="B76" s="21">
        <v>26</v>
      </c>
      <c r="C76" s="21">
        <v>24</v>
      </c>
      <c r="D76" s="21">
        <v>25</v>
      </c>
    </row>
    <row r="77" spans="1:4" x14ac:dyDescent="0.4">
      <c r="A77" s="22">
        <v>46081</v>
      </c>
      <c r="B77" s="21">
        <v>30</v>
      </c>
      <c r="C77" s="21">
        <v>28</v>
      </c>
      <c r="D77" s="21">
        <v>29</v>
      </c>
    </row>
    <row r="78" spans="1:4" x14ac:dyDescent="0.4">
      <c r="A78" s="22">
        <v>46082</v>
      </c>
      <c r="B78" s="21">
        <v>6</v>
      </c>
      <c r="C78" s="21">
        <v>4</v>
      </c>
      <c r="D78" s="21">
        <v>5</v>
      </c>
    </row>
    <row r="79" spans="1:4" x14ac:dyDescent="0.4">
      <c r="A79" s="22">
        <v>46083</v>
      </c>
      <c r="B79" s="21">
        <v>10</v>
      </c>
      <c r="C79" s="21">
        <v>8</v>
      </c>
      <c r="D79" s="21">
        <v>9</v>
      </c>
    </row>
    <row r="80" spans="1:4" x14ac:dyDescent="0.4">
      <c r="A80" s="22">
        <v>46084</v>
      </c>
      <c r="B80" s="21">
        <v>14</v>
      </c>
      <c r="C80" s="21">
        <v>12</v>
      </c>
      <c r="D80" s="21">
        <v>13</v>
      </c>
    </row>
    <row r="81" spans="1:4" x14ac:dyDescent="0.4">
      <c r="A81" s="22">
        <v>46085</v>
      </c>
      <c r="B81" s="21">
        <v>18</v>
      </c>
      <c r="C81" s="21">
        <v>16</v>
      </c>
      <c r="D81" s="21">
        <v>17</v>
      </c>
    </row>
    <row r="82" spans="1:4" x14ac:dyDescent="0.4">
      <c r="A82" s="22">
        <v>46086</v>
      </c>
      <c r="B82" s="21">
        <v>22</v>
      </c>
      <c r="C82" s="21">
        <v>20</v>
      </c>
      <c r="D82" s="21">
        <v>21</v>
      </c>
    </row>
    <row r="83" spans="1:4" x14ac:dyDescent="0.4">
      <c r="A83" s="22">
        <v>46087</v>
      </c>
      <c r="B83" s="21">
        <v>26</v>
      </c>
      <c r="C83" s="21">
        <v>24</v>
      </c>
      <c r="D83" s="21">
        <v>25</v>
      </c>
    </row>
    <row r="84" spans="1:4" x14ac:dyDescent="0.4">
      <c r="A84" s="22">
        <v>46088</v>
      </c>
      <c r="B84" s="21">
        <v>30</v>
      </c>
      <c r="C84" s="21">
        <v>28</v>
      </c>
      <c r="D84" s="21">
        <v>29</v>
      </c>
    </row>
    <row r="85" spans="1:4" x14ac:dyDescent="0.4">
      <c r="A85" s="22">
        <v>46089</v>
      </c>
      <c r="B85" s="21">
        <v>6</v>
      </c>
      <c r="C85" s="21">
        <v>4</v>
      </c>
      <c r="D85" s="21">
        <v>5</v>
      </c>
    </row>
    <row r="86" spans="1:4" x14ac:dyDescent="0.4">
      <c r="A86" s="22">
        <v>46090</v>
      </c>
      <c r="B86" s="21">
        <v>10</v>
      </c>
      <c r="C86" s="21">
        <v>8</v>
      </c>
      <c r="D86" s="21">
        <v>9</v>
      </c>
    </row>
    <row r="87" spans="1:4" x14ac:dyDescent="0.4">
      <c r="A87" s="22">
        <v>46091</v>
      </c>
      <c r="B87" s="21">
        <v>14</v>
      </c>
      <c r="C87" s="21">
        <v>12</v>
      </c>
      <c r="D87" s="21">
        <v>13</v>
      </c>
    </row>
    <row r="88" spans="1:4" x14ac:dyDescent="0.4">
      <c r="A88" s="22">
        <v>46092</v>
      </c>
      <c r="B88" s="21">
        <v>18</v>
      </c>
      <c r="C88" s="21">
        <v>16</v>
      </c>
      <c r="D88" s="21">
        <v>17</v>
      </c>
    </row>
    <row r="89" spans="1:4" x14ac:dyDescent="0.4">
      <c r="A89" s="22">
        <v>46093</v>
      </c>
      <c r="B89" s="21">
        <v>22</v>
      </c>
      <c r="C89" s="21">
        <v>20</v>
      </c>
      <c r="D89" s="21">
        <v>21</v>
      </c>
    </row>
    <row r="90" spans="1:4" x14ac:dyDescent="0.4">
      <c r="A90" s="22">
        <v>46094</v>
      </c>
      <c r="B90" s="21">
        <v>26</v>
      </c>
      <c r="C90" s="21">
        <v>24</v>
      </c>
      <c r="D90" s="21">
        <v>25</v>
      </c>
    </row>
    <row r="91" spans="1:4" x14ac:dyDescent="0.4">
      <c r="A91" s="22">
        <v>46095</v>
      </c>
      <c r="B91" s="21">
        <v>30</v>
      </c>
      <c r="C91" s="21">
        <v>28</v>
      </c>
      <c r="D91" s="21">
        <v>29</v>
      </c>
    </row>
    <row r="92" spans="1:4" x14ac:dyDescent="0.4">
      <c r="A92" s="22">
        <v>46096</v>
      </c>
      <c r="B92" s="21">
        <v>6</v>
      </c>
      <c r="C92" s="21">
        <v>4</v>
      </c>
      <c r="D92" s="21">
        <v>5</v>
      </c>
    </row>
    <row r="93" spans="1:4" x14ac:dyDescent="0.4">
      <c r="A93" s="22">
        <v>46097</v>
      </c>
      <c r="B93" s="21">
        <v>10</v>
      </c>
      <c r="C93" s="21">
        <v>8</v>
      </c>
      <c r="D93" s="21">
        <v>9</v>
      </c>
    </row>
    <row r="94" spans="1:4" x14ac:dyDescent="0.4">
      <c r="A94" s="22">
        <v>46098</v>
      </c>
      <c r="B94" s="21">
        <v>14</v>
      </c>
      <c r="C94" s="21">
        <v>12</v>
      </c>
      <c r="D94" s="21">
        <v>13</v>
      </c>
    </row>
    <row r="95" spans="1:4" x14ac:dyDescent="0.4">
      <c r="A95" s="22">
        <v>46099</v>
      </c>
      <c r="B95" s="21">
        <v>18</v>
      </c>
      <c r="C95" s="21">
        <v>16</v>
      </c>
      <c r="D95" s="21">
        <v>17</v>
      </c>
    </row>
    <row r="96" spans="1:4" x14ac:dyDescent="0.4">
      <c r="A96" s="22">
        <v>46100</v>
      </c>
      <c r="B96" s="21">
        <v>22</v>
      </c>
      <c r="C96" s="21">
        <v>20</v>
      </c>
      <c r="D96" s="21">
        <v>21</v>
      </c>
    </row>
    <row r="97" spans="1:4" x14ac:dyDescent="0.4">
      <c r="A97" s="22">
        <v>46101</v>
      </c>
      <c r="B97" s="21">
        <v>26</v>
      </c>
      <c r="C97" s="21">
        <v>24</v>
      </c>
      <c r="D97" s="21">
        <v>25</v>
      </c>
    </row>
    <row r="98" spans="1:4" x14ac:dyDescent="0.4">
      <c r="A98" s="22">
        <v>46102</v>
      </c>
      <c r="B98" s="21">
        <v>30</v>
      </c>
      <c r="C98" s="21">
        <v>28</v>
      </c>
      <c r="D98" s="21">
        <v>29</v>
      </c>
    </row>
    <row r="99" spans="1:4" x14ac:dyDescent="0.4">
      <c r="A99" s="22">
        <v>46103</v>
      </c>
      <c r="B99" s="21">
        <v>6</v>
      </c>
      <c r="C99" s="21">
        <v>4</v>
      </c>
      <c r="D99" s="21">
        <v>5</v>
      </c>
    </row>
    <row r="100" spans="1:4" x14ac:dyDescent="0.4">
      <c r="A100" s="22">
        <v>46104</v>
      </c>
      <c r="B100" s="21">
        <v>10</v>
      </c>
      <c r="C100" s="21">
        <v>8</v>
      </c>
      <c r="D100" s="21">
        <v>9</v>
      </c>
    </row>
    <row r="101" spans="1:4" x14ac:dyDescent="0.4">
      <c r="A101" s="22">
        <v>46105</v>
      </c>
      <c r="B101" s="21">
        <v>14</v>
      </c>
      <c r="C101" s="21">
        <v>12</v>
      </c>
      <c r="D101" s="21">
        <v>13</v>
      </c>
    </row>
    <row r="102" spans="1:4" x14ac:dyDescent="0.4">
      <c r="A102" s="22">
        <v>46106</v>
      </c>
      <c r="B102" s="21">
        <v>18</v>
      </c>
      <c r="C102" s="21">
        <v>16</v>
      </c>
      <c r="D102" s="21">
        <v>17</v>
      </c>
    </row>
    <row r="103" spans="1:4" x14ac:dyDescent="0.4">
      <c r="A103" s="22">
        <v>46107</v>
      </c>
      <c r="B103" s="21">
        <v>22</v>
      </c>
      <c r="C103" s="21">
        <v>20</v>
      </c>
      <c r="D103" s="21">
        <v>21</v>
      </c>
    </row>
    <row r="104" spans="1:4" x14ac:dyDescent="0.4">
      <c r="A104" s="22">
        <v>46108</v>
      </c>
      <c r="B104" s="21">
        <v>26</v>
      </c>
      <c r="C104" s="21">
        <v>24</v>
      </c>
      <c r="D104" s="21">
        <v>25</v>
      </c>
    </row>
    <row r="105" spans="1:4" x14ac:dyDescent="0.4">
      <c r="A105" s="22">
        <v>46109</v>
      </c>
      <c r="B105" s="21">
        <v>30</v>
      </c>
      <c r="C105" s="21">
        <v>28</v>
      </c>
      <c r="D105" s="21">
        <v>29</v>
      </c>
    </row>
    <row r="106" spans="1:4" x14ac:dyDescent="0.4">
      <c r="A106" s="22">
        <v>46110</v>
      </c>
      <c r="B106" s="21">
        <v>6</v>
      </c>
      <c r="C106" s="21">
        <v>4</v>
      </c>
      <c r="D106" s="21">
        <v>5</v>
      </c>
    </row>
    <row r="107" spans="1:4" x14ac:dyDescent="0.4">
      <c r="A107" s="22">
        <v>46111</v>
      </c>
      <c r="B107" s="21">
        <v>10</v>
      </c>
      <c r="C107" s="21">
        <v>8</v>
      </c>
      <c r="D107" s="21">
        <v>9</v>
      </c>
    </row>
    <row r="108" spans="1:4" x14ac:dyDescent="0.4">
      <c r="A108" s="22">
        <v>46112</v>
      </c>
      <c r="B108" s="21">
        <v>14</v>
      </c>
      <c r="C108" s="21">
        <v>12</v>
      </c>
      <c r="D108" s="21">
        <v>13</v>
      </c>
    </row>
    <row r="109" spans="1:4" x14ac:dyDescent="0.4">
      <c r="A109" s="22">
        <v>46113</v>
      </c>
      <c r="B109" s="21">
        <v>18</v>
      </c>
      <c r="C109" s="21">
        <v>16</v>
      </c>
      <c r="D109" s="21">
        <v>17</v>
      </c>
    </row>
    <row r="110" spans="1:4" x14ac:dyDescent="0.4">
      <c r="A110" s="22">
        <v>46114</v>
      </c>
      <c r="B110" s="21">
        <v>22</v>
      </c>
      <c r="C110" s="21">
        <v>20</v>
      </c>
      <c r="D110" s="21">
        <v>21</v>
      </c>
    </row>
    <row r="111" spans="1:4" x14ac:dyDescent="0.4">
      <c r="A111" s="22">
        <v>46115</v>
      </c>
      <c r="B111" s="21">
        <v>26</v>
      </c>
      <c r="C111" s="21">
        <v>24</v>
      </c>
      <c r="D111" s="21">
        <v>25</v>
      </c>
    </row>
    <row r="112" spans="1:4" x14ac:dyDescent="0.4">
      <c r="A112" s="22">
        <v>46116</v>
      </c>
      <c r="B112" s="21">
        <v>30</v>
      </c>
      <c r="C112" s="21">
        <v>28</v>
      </c>
      <c r="D112" s="21">
        <v>29</v>
      </c>
    </row>
    <row r="113" spans="1:4" x14ac:dyDescent="0.4">
      <c r="A113" s="22">
        <v>46117</v>
      </c>
      <c r="B113" s="21">
        <v>6</v>
      </c>
      <c r="C113" s="21">
        <v>4</v>
      </c>
      <c r="D113" s="21">
        <v>5</v>
      </c>
    </row>
    <row r="114" spans="1:4" x14ac:dyDescent="0.4">
      <c r="A114" s="22">
        <v>46118</v>
      </c>
      <c r="B114" s="21">
        <v>10</v>
      </c>
      <c r="C114" s="21">
        <v>8</v>
      </c>
      <c r="D114" s="21">
        <v>9</v>
      </c>
    </row>
    <row r="115" spans="1:4" x14ac:dyDescent="0.4">
      <c r="A115" s="22">
        <v>46119</v>
      </c>
      <c r="B115" s="21">
        <v>14</v>
      </c>
      <c r="C115" s="21">
        <v>12</v>
      </c>
      <c r="D115" s="21">
        <v>13</v>
      </c>
    </row>
    <row r="116" spans="1:4" x14ac:dyDescent="0.4">
      <c r="A116" s="22">
        <v>46120</v>
      </c>
      <c r="B116" s="21">
        <v>18</v>
      </c>
      <c r="C116" s="21">
        <v>16</v>
      </c>
      <c r="D116" s="21">
        <v>17</v>
      </c>
    </row>
    <row r="117" spans="1:4" x14ac:dyDescent="0.4">
      <c r="A117" s="22">
        <v>46121</v>
      </c>
      <c r="B117" s="21">
        <v>22</v>
      </c>
      <c r="C117" s="21">
        <v>20</v>
      </c>
      <c r="D117" s="21">
        <v>21</v>
      </c>
    </row>
    <row r="118" spans="1:4" x14ac:dyDescent="0.4">
      <c r="A118" s="22">
        <v>46122</v>
      </c>
      <c r="B118" s="21">
        <v>26</v>
      </c>
      <c r="C118" s="21">
        <v>24</v>
      </c>
      <c r="D118" s="21">
        <v>25</v>
      </c>
    </row>
    <row r="119" spans="1:4" x14ac:dyDescent="0.4">
      <c r="A119" s="22">
        <v>46123</v>
      </c>
      <c r="B119" s="21">
        <v>30</v>
      </c>
      <c r="C119" s="21">
        <v>28</v>
      </c>
      <c r="D119" s="21">
        <v>29</v>
      </c>
    </row>
    <row r="120" spans="1:4" x14ac:dyDescent="0.4">
      <c r="A120" s="22">
        <v>46124</v>
      </c>
      <c r="B120" s="21">
        <v>6</v>
      </c>
      <c r="C120" s="21">
        <v>4</v>
      </c>
      <c r="D120" s="21">
        <v>5</v>
      </c>
    </row>
    <row r="121" spans="1:4" x14ac:dyDescent="0.4">
      <c r="A121" s="22">
        <v>46125</v>
      </c>
      <c r="B121" s="21">
        <v>10</v>
      </c>
      <c r="C121" s="21">
        <v>8</v>
      </c>
      <c r="D121" s="21">
        <v>9</v>
      </c>
    </row>
    <row r="122" spans="1:4" x14ac:dyDescent="0.4">
      <c r="A122" s="22">
        <v>46126</v>
      </c>
      <c r="B122" s="21">
        <v>14</v>
      </c>
      <c r="C122" s="21">
        <v>12</v>
      </c>
      <c r="D122" s="21">
        <v>13</v>
      </c>
    </row>
    <row r="123" spans="1:4" x14ac:dyDescent="0.4">
      <c r="A123" s="22">
        <v>46127</v>
      </c>
      <c r="B123" s="21">
        <v>18</v>
      </c>
      <c r="C123" s="21">
        <v>16</v>
      </c>
      <c r="D123" s="21">
        <v>17</v>
      </c>
    </row>
    <row r="124" spans="1:4" x14ac:dyDescent="0.4">
      <c r="A124" s="22">
        <v>46128</v>
      </c>
      <c r="B124" s="21">
        <v>22</v>
      </c>
      <c r="C124" s="21">
        <v>20</v>
      </c>
      <c r="D124" s="21">
        <v>21</v>
      </c>
    </row>
    <row r="125" spans="1:4" x14ac:dyDescent="0.4">
      <c r="A125" s="22">
        <v>46129</v>
      </c>
      <c r="B125" s="21">
        <v>26</v>
      </c>
      <c r="C125" s="21">
        <v>24</v>
      </c>
      <c r="D125" s="21">
        <v>25</v>
      </c>
    </row>
    <row r="126" spans="1:4" x14ac:dyDescent="0.4">
      <c r="A126" s="22">
        <v>46130</v>
      </c>
      <c r="B126" s="21">
        <v>30</v>
      </c>
      <c r="C126" s="21">
        <v>28</v>
      </c>
      <c r="D126" s="21">
        <v>29</v>
      </c>
    </row>
    <row r="127" spans="1:4" x14ac:dyDescent="0.4">
      <c r="A127" s="22">
        <v>46131</v>
      </c>
      <c r="B127" s="21">
        <v>6</v>
      </c>
      <c r="C127" s="21">
        <v>4</v>
      </c>
      <c r="D127" s="21">
        <v>5</v>
      </c>
    </row>
    <row r="128" spans="1:4" x14ac:dyDescent="0.4">
      <c r="A128" s="22">
        <v>46132</v>
      </c>
      <c r="B128" s="21">
        <v>10</v>
      </c>
      <c r="C128" s="21">
        <v>8</v>
      </c>
      <c r="D128" s="21">
        <v>9</v>
      </c>
    </row>
    <row r="129" spans="1:4" x14ac:dyDescent="0.4">
      <c r="A129" s="22">
        <v>46133</v>
      </c>
      <c r="B129" s="21">
        <v>14</v>
      </c>
      <c r="C129" s="21">
        <v>12</v>
      </c>
      <c r="D129" s="21">
        <v>13</v>
      </c>
    </row>
    <row r="130" spans="1:4" x14ac:dyDescent="0.4">
      <c r="A130" s="22">
        <v>46134</v>
      </c>
      <c r="B130" s="21">
        <v>18</v>
      </c>
      <c r="C130" s="21">
        <v>16</v>
      </c>
      <c r="D130" s="21">
        <v>17</v>
      </c>
    </row>
    <row r="131" spans="1:4" x14ac:dyDescent="0.4">
      <c r="A131" s="22">
        <v>46135</v>
      </c>
      <c r="B131" s="21">
        <v>22</v>
      </c>
      <c r="C131" s="21">
        <v>20</v>
      </c>
      <c r="D131" s="21">
        <v>21</v>
      </c>
    </row>
    <row r="132" spans="1:4" x14ac:dyDescent="0.4">
      <c r="A132" s="22">
        <v>46136</v>
      </c>
      <c r="B132" s="21">
        <v>26</v>
      </c>
      <c r="C132" s="21">
        <v>24</v>
      </c>
      <c r="D132" s="21">
        <v>25</v>
      </c>
    </row>
    <row r="133" spans="1:4" x14ac:dyDescent="0.4">
      <c r="A133" s="22">
        <v>46137</v>
      </c>
      <c r="B133" s="21">
        <v>30</v>
      </c>
      <c r="C133" s="21">
        <v>28</v>
      </c>
      <c r="D133" s="21">
        <v>29</v>
      </c>
    </row>
    <row r="134" spans="1:4" x14ac:dyDescent="0.4">
      <c r="A134" s="22">
        <v>46138</v>
      </c>
      <c r="B134" s="21">
        <v>6</v>
      </c>
      <c r="C134" s="21">
        <v>4</v>
      </c>
      <c r="D134" s="21">
        <v>5</v>
      </c>
    </row>
    <row r="135" spans="1:4" x14ac:dyDescent="0.4">
      <c r="A135" s="22">
        <v>46139</v>
      </c>
      <c r="B135" s="21">
        <v>10</v>
      </c>
      <c r="C135" s="21">
        <v>8</v>
      </c>
      <c r="D135" s="21">
        <v>9</v>
      </c>
    </row>
    <row r="136" spans="1:4" x14ac:dyDescent="0.4">
      <c r="A136" s="22">
        <v>46140</v>
      </c>
      <c r="B136" s="21">
        <v>14</v>
      </c>
      <c r="C136" s="21">
        <v>12</v>
      </c>
      <c r="D136" s="21">
        <v>13</v>
      </c>
    </row>
    <row r="137" spans="1:4" x14ac:dyDescent="0.4">
      <c r="A137" s="22">
        <v>46141</v>
      </c>
      <c r="B137" s="21">
        <v>18</v>
      </c>
      <c r="C137" s="21">
        <v>16</v>
      </c>
      <c r="D137" s="21">
        <v>17</v>
      </c>
    </row>
    <row r="138" spans="1:4" x14ac:dyDescent="0.4">
      <c r="A138" s="22">
        <v>46142</v>
      </c>
      <c r="B138" s="21">
        <v>22</v>
      </c>
      <c r="C138" s="21">
        <v>20</v>
      </c>
      <c r="D138" s="21">
        <v>21</v>
      </c>
    </row>
    <row r="139" spans="1:4" x14ac:dyDescent="0.4">
      <c r="A139" s="22">
        <v>46143</v>
      </c>
      <c r="B139" s="21">
        <v>26</v>
      </c>
      <c r="C139" s="21">
        <v>24</v>
      </c>
      <c r="D139" s="21">
        <v>25</v>
      </c>
    </row>
    <row r="140" spans="1:4" x14ac:dyDescent="0.4">
      <c r="A140" s="22">
        <v>46144</v>
      </c>
      <c r="B140" s="21">
        <v>30</v>
      </c>
      <c r="C140" s="21">
        <v>28</v>
      </c>
      <c r="D140" s="21">
        <v>29</v>
      </c>
    </row>
    <row r="141" spans="1:4" x14ac:dyDescent="0.4">
      <c r="A141" s="22">
        <v>46145</v>
      </c>
      <c r="B141" s="21">
        <v>6</v>
      </c>
      <c r="C141" s="21">
        <v>4</v>
      </c>
      <c r="D141" s="21">
        <v>5</v>
      </c>
    </row>
    <row r="142" spans="1:4" x14ac:dyDescent="0.4">
      <c r="A142" s="22">
        <v>46146</v>
      </c>
      <c r="B142" s="21">
        <v>10</v>
      </c>
      <c r="C142" s="21">
        <v>8</v>
      </c>
      <c r="D142" s="21">
        <v>9</v>
      </c>
    </row>
    <row r="143" spans="1:4" x14ac:dyDescent="0.4">
      <c r="A143" s="22">
        <v>46147</v>
      </c>
      <c r="B143" s="21">
        <v>14</v>
      </c>
      <c r="C143" s="21">
        <v>12</v>
      </c>
      <c r="D143" s="21">
        <v>13</v>
      </c>
    </row>
    <row r="144" spans="1:4" x14ac:dyDescent="0.4">
      <c r="A144" s="22">
        <v>46148</v>
      </c>
      <c r="B144" s="21">
        <v>18</v>
      </c>
      <c r="C144" s="21">
        <v>16</v>
      </c>
      <c r="D144" s="21">
        <v>17</v>
      </c>
    </row>
    <row r="145" spans="1:4" x14ac:dyDescent="0.4">
      <c r="A145" s="22">
        <v>46149</v>
      </c>
      <c r="B145" s="21">
        <v>22</v>
      </c>
      <c r="C145" s="21">
        <v>20</v>
      </c>
      <c r="D145" s="21">
        <v>21</v>
      </c>
    </row>
    <row r="146" spans="1:4" x14ac:dyDescent="0.4">
      <c r="A146" s="22">
        <v>46150</v>
      </c>
      <c r="B146" s="21">
        <v>26</v>
      </c>
      <c r="C146" s="21">
        <v>24</v>
      </c>
      <c r="D146" s="21">
        <v>25</v>
      </c>
    </row>
    <row r="147" spans="1:4" x14ac:dyDescent="0.4">
      <c r="A147" s="22">
        <v>46151</v>
      </c>
      <c r="B147" s="21">
        <v>30</v>
      </c>
      <c r="C147" s="21">
        <v>28</v>
      </c>
      <c r="D147" s="21">
        <v>29</v>
      </c>
    </row>
    <row r="148" spans="1:4" x14ac:dyDescent="0.4">
      <c r="A148" s="22">
        <v>46152</v>
      </c>
      <c r="B148" s="21">
        <v>6</v>
      </c>
      <c r="C148" s="21">
        <v>4</v>
      </c>
      <c r="D148" s="21">
        <v>5</v>
      </c>
    </row>
    <row r="149" spans="1:4" x14ac:dyDescent="0.4">
      <c r="A149" s="22">
        <v>46153</v>
      </c>
      <c r="B149" s="21">
        <v>10</v>
      </c>
      <c r="C149" s="21">
        <v>8</v>
      </c>
      <c r="D149" s="21">
        <v>9</v>
      </c>
    </row>
    <row r="150" spans="1:4" x14ac:dyDescent="0.4">
      <c r="A150" s="22">
        <v>46154</v>
      </c>
      <c r="B150" s="21">
        <v>14</v>
      </c>
      <c r="C150" s="21">
        <v>12</v>
      </c>
      <c r="D150" s="21">
        <v>13</v>
      </c>
    </row>
    <row r="151" spans="1:4" x14ac:dyDescent="0.4">
      <c r="A151" s="22">
        <v>46155</v>
      </c>
      <c r="B151" s="21">
        <v>18</v>
      </c>
      <c r="C151" s="21">
        <v>16</v>
      </c>
      <c r="D151" s="21">
        <v>17</v>
      </c>
    </row>
    <row r="152" spans="1:4" x14ac:dyDescent="0.4">
      <c r="A152" s="22">
        <v>46156</v>
      </c>
      <c r="B152" s="21">
        <v>22</v>
      </c>
      <c r="C152" s="21">
        <v>20</v>
      </c>
      <c r="D152" s="21">
        <v>21</v>
      </c>
    </row>
    <row r="153" spans="1:4" x14ac:dyDescent="0.4">
      <c r="A153" s="22">
        <v>46157</v>
      </c>
      <c r="B153" s="21">
        <v>26</v>
      </c>
      <c r="C153" s="21">
        <v>24</v>
      </c>
      <c r="D153" s="21">
        <v>25</v>
      </c>
    </row>
    <row r="154" spans="1:4" x14ac:dyDescent="0.4">
      <c r="A154" s="22">
        <v>46158</v>
      </c>
      <c r="B154" s="21">
        <v>30</v>
      </c>
      <c r="C154" s="21">
        <v>28</v>
      </c>
      <c r="D154" s="21">
        <v>29</v>
      </c>
    </row>
    <row r="155" spans="1:4" x14ac:dyDescent="0.4">
      <c r="A155" s="22">
        <v>46159</v>
      </c>
      <c r="B155" s="21">
        <v>6</v>
      </c>
      <c r="C155" s="21">
        <v>4</v>
      </c>
      <c r="D155" s="21">
        <v>5</v>
      </c>
    </row>
    <row r="156" spans="1:4" x14ac:dyDescent="0.4">
      <c r="A156" s="22">
        <v>46160</v>
      </c>
      <c r="B156" s="21">
        <v>10</v>
      </c>
      <c r="C156" s="21">
        <v>8</v>
      </c>
      <c r="D156" s="21">
        <v>9</v>
      </c>
    </row>
    <row r="157" spans="1:4" x14ac:dyDescent="0.4">
      <c r="A157" s="22">
        <v>46161</v>
      </c>
      <c r="B157" s="21">
        <v>14</v>
      </c>
      <c r="C157" s="21">
        <v>12</v>
      </c>
      <c r="D157" s="21">
        <v>13</v>
      </c>
    </row>
    <row r="158" spans="1:4" x14ac:dyDescent="0.4">
      <c r="A158" s="22">
        <v>46162</v>
      </c>
      <c r="B158" s="21">
        <v>18</v>
      </c>
      <c r="C158" s="21">
        <v>16</v>
      </c>
      <c r="D158" s="21">
        <v>17</v>
      </c>
    </row>
    <row r="159" spans="1:4" x14ac:dyDescent="0.4">
      <c r="A159" s="22">
        <v>46163</v>
      </c>
      <c r="B159" s="21">
        <v>22</v>
      </c>
      <c r="C159" s="21">
        <v>20</v>
      </c>
      <c r="D159" s="21">
        <v>21</v>
      </c>
    </row>
    <row r="160" spans="1:4" x14ac:dyDescent="0.4">
      <c r="A160" s="22">
        <v>46164</v>
      </c>
      <c r="B160" s="21">
        <v>26</v>
      </c>
      <c r="C160" s="21">
        <v>24</v>
      </c>
      <c r="D160" s="21">
        <v>25</v>
      </c>
    </row>
    <row r="161" spans="1:4" x14ac:dyDescent="0.4">
      <c r="A161" s="22">
        <v>46165</v>
      </c>
      <c r="B161" s="21">
        <v>30</v>
      </c>
      <c r="C161" s="21">
        <v>28</v>
      </c>
      <c r="D161" s="21">
        <v>29</v>
      </c>
    </row>
    <row r="162" spans="1:4" x14ac:dyDescent="0.4">
      <c r="A162" s="22">
        <v>46166</v>
      </c>
      <c r="B162" s="21">
        <v>6</v>
      </c>
      <c r="C162" s="21">
        <v>4</v>
      </c>
      <c r="D162" s="21">
        <v>5</v>
      </c>
    </row>
    <row r="163" spans="1:4" x14ac:dyDescent="0.4">
      <c r="A163" s="22">
        <v>46167</v>
      </c>
      <c r="B163" s="21">
        <v>10</v>
      </c>
      <c r="C163" s="21">
        <v>8</v>
      </c>
      <c r="D163" s="21">
        <v>9</v>
      </c>
    </row>
    <row r="164" spans="1:4" x14ac:dyDescent="0.4">
      <c r="A164" s="22">
        <v>46168</v>
      </c>
      <c r="B164" s="21">
        <v>14</v>
      </c>
      <c r="C164" s="21">
        <v>12</v>
      </c>
      <c r="D164" s="21">
        <v>13</v>
      </c>
    </row>
    <row r="165" spans="1:4" x14ac:dyDescent="0.4">
      <c r="A165" s="22">
        <v>46169</v>
      </c>
      <c r="B165" s="21">
        <v>18</v>
      </c>
      <c r="C165" s="21">
        <v>16</v>
      </c>
      <c r="D165" s="21">
        <v>17</v>
      </c>
    </row>
    <row r="166" spans="1:4" x14ac:dyDescent="0.4">
      <c r="A166" s="22">
        <v>46170</v>
      </c>
      <c r="B166" s="21">
        <v>22</v>
      </c>
      <c r="C166" s="21">
        <v>20</v>
      </c>
      <c r="D166" s="21">
        <v>21</v>
      </c>
    </row>
    <row r="167" spans="1:4" x14ac:dyDescent="0.4">
      <c r="A167" s="22">
        <v>46171</v>
      </c>
      <c r="B167" s="21">
        <v>26</v>
      </c>
      <c r="C167" s="21">
        <v>24</v>
      </c>
      <c r="D167" s="21">
        <v>25</v>
      </c>
    </row>
    <row r="168" spans="1:4" x14ac:dyDescent="0.4">
      <c r="A168" s="22">
        <v>46172</v>
      </c>
      <c r="B168" s="21">
        <v>30</v>
      </c>
      <c r="C168" s="21">
        <v>28</v>
      </c>
      <c r="D168" s="21">
        <v>29</v>
      </c>
    </row>
    <row r="169" spans="1:4" x14ac:dyDescent="0.4">
      <c r="A169" s="22">
        <v>46173</v>
      </c>
      <c r="B169" s="21">
        <v>6</v>
      </c>
      <c r="C169" s="21">
        <v>4</v>
      </c>
      <c r="D169" s="21">
        <v>5</v>
      </c>
    </row>
    <row r="170" spans="1:4" x14ac:dyDescent="0.4">
      <c r="A170" s="22">
        <v>46174</v>
      </c>
      <c r="B170" s="21">
        <v>10</v>
      </c>
      <c r="C170" s="21">
        <v>8</v>
      </c>
      <c r="D170" s="21">
        <v>9</v>
      </c>
    </row>
    <row r="171" spans="1:4" x14ac:dyDescent="0.4">
      <c r="A171" s="22">
        <v>46175</v>
      </c>
      <c r="B171" s="21">
        <v>14</v>
      </c>
      <c r="C171" s="21">
        <v>12</v>
      </c>
      <c r="D171" s="21">
        <v>13</v>
      </c>
    </row>
    <row r="172" spans="1:4" x14ac:dyDescent="0.4">
      <c r="A172" s="22">
        <v>46176</v>
      </c>
      <c r="B172" s="21">
        <v>18</v>
      </c>
      <c r="C172" s="21">
        <v>16</v>
      </c>
      <c r="D172" s="21">
        <v>17</v>
      </c>
    </row>
    <row r="173" spans="1:4" x14ac:dyDescent="0.4">
      <c r="A173" s="22">
        <v>46177</v>
      </c>
      <c r="B173" s="21">
        <v>22</v>
      </c>
      <c r="C173" s="21">
        <v>20</v>
      </c>
      <c r="D173" s="21">
        <v>21</v>
      </c>
    </row>
    <row r="174" spans="1:4" x14ac:dyDescent="0.4">
      <c r="A174" s="22">
        <v>46178</v>
      </c>
      <c r="B174" s="21">
        <v>26</v>
      </c>
      <c r="C174" s="21">
        <v>24</v>
      </c>
      <c r="D174" s="21">
        <v>25</v>
      </c>
    </row>
    <row r="175" spans="1:4" x14ac:dyDescent="0.4">
      <c r="A175" s="22">
        <v>46179</v>
      </c>
      <c r="B175" s="21">
        <v>30</v>
      </c>
      <c r="C175" s="21">
        <v>28</v>
      </c>
      <c r="D175" s="21">
        <v>29</v>
      </c>
    </row>
    <row r="176" spans="1:4" x14ac:dyDescent="0.4">
      <c r="A176" s="22">
        <v>46180</v>
      </c>
      <c r="B176" s="21">
        <v>6</v>
      </c>
      <c r="C176" s="21">
        <v>4</v>
      </c>
      <c r="D176" s="21">
        <v>5</v>
      </c>
    </row>
    <row r="177" spans="1:4" x14ac:dyDescent="0.4">
      <c r="A177" s="22">
        <v>46181</v>
      </c>
      <c r="B177" s="21">
        <v>10</v>
      </c>
      <c r="C177" s="21">
        <v>8</v>
      </c>
      <c r="D177" s="21">
        <v>9</v>
      </c>
    </row>
    <row r="178" spans="1:4" x14ac:dyDescent="0.4">
      <c r="A178" s="22">
        <v>46182</v>
      </c>
      <c r="B178" s="21">
        <v>14</v>
      </c>
      <c r="C178" s="21">
        <v>12</v>
      </c>
      <c r="D178" s="21">
        <v>13</v>
      </c>
    </row>
    <row r="179" spans="1:4" x14ac:dyDescent="0.4">
      <c r="A179" s="22">
        <v>46183</v>
      </c>
      <c r="B179" s="21">
        <v>18</v>
      </c>
      <c r="C179" s="21">
        <v>16</v>
      </c>
      <c r="D179" s="21">
        <v>17</v>
      </c>
    </row>
    <row r="180" spans="1:4" x14ac:dyDescent="0.4">
      <c r="A180" s="22">
        <v>46184</v>
      </c>
      <c r="B180" s="21">
        <v>22</v>
      </c>
      <c r="C180" s="21">
        <v>20</v>
      </c>
      <c r="D180" s="21">
        <v>21</v>
      </c>
    </row>
    <row r="181" spans="1:4" x14ac:dyDescent="0.4">
      <c r="A181" s="22">
        <v>46185</v>
      </c>
      <c r="B181" s="21">
        <v>26</v>
      </c>
      <c r="C181" s="21">
        <v>24</v>
      </c>
      <c r="D181" s="21">
        <v>25</v>
      </c>
    </row>
    <row r="182" spans="1:4" x14ac:dyDescent="0.4">
      <c r="A182" s="22">
        <v>46186</v>
      </c>
      <c r="B182" s="21">
        <v>30</v>
      </c>
      <c r="C182" s="21">
        <v>28</v>
      </c>
      <c r="D182" s="21">
        <v>29</v>
      </c>
    </row>
    <row r="183" spans="1:4" x14ac:dyDescent="0.4">
      <c r="A183" s="22">
        <v>46187</v>
      </c>
      <c r="B183" s="21">
        <v>6</v>
      </c>
      <c r="C183" s="21">
        <v>4</v>
      </c>
      <c r="D183" s="21">
        <v>5</v>
      </c>
    </row>
    <row r="184" spans="1:4" x14ac:dyDescent="0.4">
      <c r="A184" s="22">
        <v>46188</v>
      </c>
      <c r="B184" s="21">
        <v>10</v>
      </c>
      <c r="C184" s="21">
        <v>8</v>
      </c>
      <c r="D184" s="21">
        <v>9</v>
      </c>
    </row>
    <row r="185" spans="1:4" x14ac:dyDescent="0.4">
      <c r="A185" s="22">
        <v>46189</v>
      </c>
      <c r="B185" s="21">
        <v>14</v>
      </c>
      <c r="C185" s="21">
        <v>12</v>
      </c>
      <c r="D185" s="21">
        <v>13</v>
      </c>
    </row>
    <row r="186" spans="1:4" x14ac:dyDescent="0.4">
      <c r="A186" s="22">
        <v>46190</v>
      </c>
      <c r="B186" s="21">
        <v>18</v>
      </c>
      <c r="C186" s="21">
        <v>16</v>
      </c>
      <c r="D186" s="21">
        <v>17</v>
      </c>
    </row>
    <row r="187" spans="1:4" x14ac:dyDescent="0.4">
      <c r="A187" s="22">
        <v>46191</v>
      </c>
      <c r="B187" s="21">
        <v>22</v>
      </c>
      <c r="C187" s="21">
        <v>20</v>
      </c>
      <c r="D187" s="21">
        <v>21</v>
      </c>
    </row>
    <row r="188" spans="1:4" x14ac:dyDescent="0.4">
      <c r="A188" s="22">
        <v>46192</v>
      </c>
      <c r="B188" s="21">
        <v>26</v>
      </c>
      <c r="C188" s="21">
        <v>24</v>
      </c>
      <c r="D188" s="21">
        <v>25</v>
      </c>
    </row>
    <row r="189" spans="1:4" x14ac:dyDescent="0.4">
      <c r="A189" s="22">
        <v>46193</v>
      </c>
      <c r="B189" s="21">
        <v>30</v>
      </c>
      <c r="C189" s="21">
        <v>28</v>
      </c>
      <c r="D189" s="21">
        <v>29</v>
      </c>
    </row>
    <row r="190" spans="1:4" x14ac:dyDescent="0.4">
      <c r="A190" s="22">
        <v>46194</v>
      </c>
      <c r="B190" s="21">
        <v>6</v>
      </c>
      <c r="C190" s="21">
        <v>4</v>
      </c>
      <c r="D190" s="21">
        <v>5</v>
      </c>
    </row>
    <row r="191" spans="1:4" x14ac:dyDescent="0.4">
      <c r="A191" s="22">
        <v>46195</v>
      </c>
      <c r="B191" s="21">
        <v>10</v>
      </c>
      <c r="C191" s="21">
        <v>8</v>
      </c>
      <c r="D191" s="21">
        <v>9</v>
      </c>
    </row>
    <row r="192" spans="1:4" x14ac:dyDescent="0.4">
      <c r="A192" s="22">
        <v>46196</v>
      </c>
      <c r="B192" s="21">
        <v>14</v>
      </c>
      <c r="C192" s="21">
        <v>12</v>
      </c>
      <c r="D192" s="21">
        <v>13</v>
      </c>
    </row>
    <row r="193" spans="1:4" x14ac:dyDescent="0.4">
      <c r="A193" s="22">
        <v>46197</v>
      </c>
      <c r="B193" s="21">
        <v>18</v>
      </c>
      <c r="C193" s="21">
        <v>16</v>
      </c>
      <c r="D193" s="21">
        <v>17</v>
      </c>
    </row>
    <row r="194" spans="1:4" x14ac:dyDescent="0.4">
      <c r="A194" s="22">
        <v>46198</v>
      </c>
      <c r="B194" s="21">
        <v>22</v>
      </c>
      <c r="C194" s="21">
        <v>20</v>
      </c>
      <c r="D194" s="21">
        <v>21</v>
      </c>
    </row>
    <row r="195" spans="1:4" x14ac:dyDescent="0.4">
      <c r="A195" s="22">
        <v>46199</v>
      </c>
      <c r="B195" s="21">
        <v>26</v>
      </c>
      <c r="C195" s="21">
        <v>24</v>
      </c>
      <c r="D195" s="21">
        <v>25</v>
      </c>
    </row>
    <row r="196" spans="1:4" x14ac:dyDescent="0.4">
      <c r="A196" s="22">
        <v>46200</v>
      </c>
      <c r="B196" s="21">
        <v>30</v>
      </c>
      <c r="C196" s="21">
        <v>28</v>
      </c>
      <c r="D196" s="21">
        <v>29</v>
      </c>
    </row>
    <row r="197" spans="1:4" x14ac:dyDescent="0.4">
      <c r="A197" s="22">
        <v>46201</v>
      </c>
      <c r="B197" s="21">
        <v>6</v>
      </c>
      <c r="C197" s="21">
        <v>4</v>
      </c>
      <c r="D197" s="21">
        <v>5</v>
      </c>
    </row>
    <row r="198" spans="1:4" x14ac:dyDescent="0.4">
      <c r="A198" s="22">
        <v>46202</v>
      </c>
      <c r="B198" s="21">
        <v>10</v>
      </c>
      <c r="C198" s="21">
        <v>8</v>
      </c>
      <c r="D198" s="21">
        <v>9</v>
      </c>
    </row>
    <row r="199" spans="1:4" x14ac:dyDescent="0.4">
      <c r="A199" s="22">
        <v>46203</v>
      </c>
      <c r="B199" s="21">
        <v>14</v>
      </c>
      <c r="C199" s="21">
        <v>12</v>
      </c>
      <c r="D199" s="21">
        <v>13</v>
      </c>
    </row>
    <row r="200" spans="1:4" x14ac:dyDescent="0.4">
      <c r="A200" s="22">
        <v>46204</v>
      </c>
      <c r="B200" s="21">
        <v>18</v>
      </c>
      <c r="C200" s="21">
        <v>16</v>
      </c>
      <c r="D200" s="21">
        <v>17</v>
      </c>
    </row>
    <row r="201" spans="1:4" x14ac:dyDescent="0.4">
      <c r="A201" s="22">
        <v>46205</v>
      </c>
      <c r="B201" s="21">
        <v>22</v>
      </c>
      <c r="C201" s="21">
        <v>20</v>
      </c>
      <c r="D201" s="21">
        <v>21</v>
      </c>
    </row>
    <row r="202" spans="1:4" x14ac:dyDescent="0.4">
      <c r="A202" s="22">
        <v>46206</v>
      </c>
      <c r="B202" s="21">
        <v>26</v>
      </c>
      <c r="C202" s="21">
        <v>24</v>
      </c>
      <c r="D202" s="21">
        <v>25</v>
      </c>
    </row>
    <row r="203" spans="1:4" x14ac:dyDescent="0.4">
      <c r="A203" s="22">
        <v>46207</v>
      </c>
      <c r="B203" s="21">
        <v>30</v>
      </c>
      <c r="C203" s="21">
        <v>28</v>
      </c>
      <c r="D203" s="21">
        <v>29</v>
      </c>
    </row>
    <row r="204" spans="1:4" x14ac:dyDescent="0.4">
      <c r="A204" s="22">
        <v>46208</v>
      </c>
      <c r="B204" s="21">
        <v>6</v>
      </c>
      <c r="C204" s="21">
        <v>4</v>
      </c>
      <c r="D204" s="21">
        <v>5</v>
      </c>
    </row>
    <row r="205" spans="1:4" x14ac:dyDescent="0.4">
      <c r="A205" s="22">
        <v>46209</v>
      </c>
      <c r="B205" s="21">
        <v>10</v>
      </c>
      <c r="C205" s="21">
        <v>8</v>
      </c>
      <c r="D205" s="21">
        <v>9</v>
      </c>
    </row>
    <row r="206" spans="1:4" x14ac:dyDescent="0.4">
      <c r="A206" s="22">
        <v>46210</v>
      </c>
      <c r="B206" s="21">
        <v>14</v>
      </c>
      <c r="C206" s="21">
        <v>12</v>
      </c>
      <c r="D206" s="21">
        <v>13</v>
      </c>
    </row>
    <row r="207" spans="1:4" x14ac:dyDescent="0.4">
      <c r="A207" s="22">
        <v>46211</v>
      </c>
      <c r="B207" s="21">
        <v>18</v>
      </c>
      <c r="C207" s="21">
        <v>16</v>
      </c>
      <c r="D207" s="21">
        <v>17</v>
      </c>
    </row>
    <row r="208" spans="1:4" x14ac:dyDescent="0.4">
      <c r="A208" s="22">
        <v>46212</v>
      </c>
      <c r="B208" s="21">
        <v>22</v>
      </c>
      <c r="C208" s="21">
        <v>20</v>
      </c>
      <c r="D208" s="21">
        <v>21</v>
      </c>
    </row>
    <row r="209" spans="1:4" x14ac:dyDescent="0.4">
      <c r="A209" s="22">
        <v>46213</v>
      </c>
      <c r="B209" s="21">
        <v>26</v>
      </c>
      <c r="C209" s="21">
        <v>24</v>
      </c>
      <c r="D209" s="21">
        <v>25</v>
      </c>
    </row>
    <row r="210" spans="1:4" x14ac:dyDescent="0.4">
      <c r="A210" s="22">
        <v>46214</v>
      </c>
      <c r="B210" s="21">
        <v>30</v>
      </c>
      <c r="C210" s="21">
        <v>28</v>
      </c>
      <c r="D210" s="21">
        <v>29</v>
      </c>
    </row>
    <row r="211" spans="1:4" x14ac:dyDescent="0.4">
      <c r="A211" s="22">
        <v>46215</v>
      </c>
      <c r="B211" s="21">
        <v>6</v>
      </c>
      <c r="C211" s="21">
        <v>4</v>
      </c>
      <c r="D211" s="21">
        <v>5</v>
      </c>
    </row>
    <row r="212" spans="1:4" x14ac:dyDescent="0.4">
      <c r="A212" s="22">
        <v>46216</v>
      </c>
      <c r="B212" s="21">
        <v>10</v>
      </c>
      <c r="C212" s="21">
        <v>8</v>
      </c>
      <c r="D212" s="21">
        <v>9</v>
      </c>
    </row>
    <row r="213" spans="1:4" x14ac:dyDescent="0.4">
      <c r="A213" s="22">
        <v>46217</v>
      </c>
      <c r="B213" s="21">
        <v>14</v>
      </c>
      <c r="C213" s="21">
        <v>12</v>
      </c>
      <c r="D213" s="21">
        <v>13</v>
      </c>
    </row>
    <row r="214" spans="1:4" x14ac:dyDescent="0.4">
      <c r="A214" s="22">
        <v>46218</v>
      </c>
      <c r="B214" s="21">
        <v>18</v>
      </c>
      <c r="C214" s="21">
        <v>16</v>
      </c>
      <c r="D214" s="21">
        <v>17</v>
      </c>
    </row>
    <row r="215" spans="1:4" x14ac:dyDescent="0.4">
      <c r="A215" s="22">
        <v>46219</v>
      </c>
      <c r="B215" s="21">
        <v>22</v>
      </c>
      <c r="C215" s="21">
        <v>20</v>
      </c>
      <c r="D215" s="21">
        <v>21</v>
      </c>
    </row>
    <row r="216" spans="1:4" x14ac:dyDescent="0.4">
      <c r="A216" s="22">
        <v>46220</v>
      </c>
      <c r="B216" s="21">
        <v>26</v>
      </c>
      <c r="C216" s="21">
        <v>24</v>
      </c>
      <c r="D216" s="21">
        <v>25</v>
      </c>
    </row>
    <row r="217" spans="1:4" x14ac:dyDescent="0.4">
      <c r="A217" s="22">
        <v>46221</v>
      </c>
      <c r="B217" s="21">
        <v>30</v>
      </c>
      <c r="C217" s="21">
        <v>28</v>
      </c>
      <c r="D217" s="21">
        <v>29</v>
      </c>
    </row>
    <row r="218" spans="1:4" x14ac:dyDescent="0.4">
      <c r="A218" s="22">
        <v>46222</v>
      </c>
      <c r="B218" s="21">
        <v>6</v>
      </c>
      <c r="C218" s="21">
        <v>4</v>
      </c>
      <c r="D218" s="21">
        <v>5</v>
      </c>
    </row>
    <row r="219" spans="1:4" x14ac:dyDescent="0.4">
      <c r="A219" s="22">
        <v>46223</v>
      </c>
      <c r="B219" s="21">
        <v>10</v>
      </c>
      <c r="C219" s="21">
        <v>8</v>
      </c>
      <c r="D219" s="21">
        <v>9</v>
      </c>
    </row>
    <row r="220" spans="1:4" x14ac:dyDescent="0.4">
      <c r="A220" s="22">
        <v>46224</v>
      </c>
      <c r="B220" s="21">
        <v>14</v>
      </c>
      <c r="C220" s="21">
        <v>12</v>
      </c>
      <c r="D220" s="21">
        <v>13</v>
      </c>
    </row>
    <row r="221" spans="1:4" x14ac:dyDescent="0.4">
      <c r="A221" s="22">
        <v>46225</v>
      </c>
      <c r="B221" s="21">
        <v>18</v>
      </c>
      <c r="C221" s="21">
        <v>16</v>
      </c>
      <c r="D221" s="21">
        <v>17</v>
      </c>
    </row>
    <row r="222" spans="1:4" x14ac:dyDescent="0.4">
      <c r="A222" s="22">
        <v>46226</v>
      </c>
      <c r="B222" s="21">
        <v>22</v>
      </c>
      <c r="C222" s="21">
        <v>20</v>
      </c>
      <c r="D222" s="21">
        <v>21</v>
      </c>
    </row>
    <row r="223" spans="1:4" x14ac:dyDescent="0.4">
      <c r="A223" s="22">
        <v>46227</v>
      </c>
      <c r="B223" s="21">
        <v>26</v>
      </c>
      <c r="C223" s="21">
        <v>24</v>
      </c>
      <c r="D223" s="21">
        <v>25</v>
      </c>
    </row>
    <row r="224" spans="1:4" x14ac:dyDescent="0.4">
      <c r="A224" s="22">
        <v>46228</v>
      </c>
      <c r="B224" s="21">
        <v>30</v>
      </c>
      <c r="C224" s="21">
        <v>28</v>
      </c>
      <c r="D224" s="21">
        <v>29</v>
      </c>
    </row>
    <row r="225" spans="1:4" x14ac:dyDescent="0.4">
      <c r="A225" s="22">
        <v>46229</v>
      </c>
      <c r="B225" s="21">
        <v>6</v>
      </c>
      <c r="C225" s="21">
        <v>4</v>
      </c>
      <c r="D225" s="21">
        <v>5</v>
      </c>
    </row>
    <row r="226" spans="1:4" x14ac:dyDescent="0.4">
      <c r="A226" s="22">
        <v>46230</v>
      </c>
      <c r="B226" s="21">
        <v>10</v>
      </c>
      <c r="C226" s="21">
        <v>8</v>
      </c>
      <c r="D226" s="21">
        <v>9</v>
      </c>
    </row>
    <row r="227" spans="1:4" x14ac:dyDescent="0.4">
      <c r="A227" s="22">
        <v>46231</v>
      </c>
      <c r="B227" s="21">
        <v>14</v>
      </c>
      <c r="C227" s="21">
        <v>12</v>
      </c>
      <c r="D227" s="21">
        <v>13</v>
      </c>
    </row>
    <row r="228" spans="1:4" x14ac:dyDescent="0.4">
      <c r="A228" s="22">
        <v>46232</v>
      </c>
      <c r="B228" s="21">
        <v>18</v>
      </c>
      <c r="C228" s="21">
        <v>16</v>
      </c>
      <c r="D228" s="21">
        <v>17</v>
      </c>
    </row>
    <row r="229" spans="1:4" x14ac:dyDescent="0.4">
      <c r="A229" s="22">
        <v>46233</v>
      </c>
      <c r="B229" s="21">
        <v>22</v>
      </c>
      <c r="C229" s="21">
        <v>20</v>
      </c>
      <c r="D229" s="21">
        <v>21</v>
      </c>
    </row>
    <row r="230" spans="1:4" x14ac:dyDescent="0.4">
      <c r="A230" s="22">
        <v>46234</v>
      </c>
      <c r="B230" s="21">
        <v>26</v>
      </c>
      <c r="C230" s="21">
        <v>24</v>
      </c>
      <c r="D230" s="21">
        <v>25</v>
      </c>
    </row>
    <row r="231" spans="1:4" x14ac:dyDescent="0.4">
      <c r="A231" s="22">
        <v>46235</v>
      </c>
      <c r="B231" s="21">
        <v>30</v>
      </c>
      <c r="C231" s="21">
        <v>28</v>
      </c>
      <c r="D231" s="2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4A1D7-2265-4C9A-B09F-719241CF299D}">
  <dimension ref="A3:C12"/>
  <sheetViews>
    <sheetView workbookViewId="0">
      <selection activeCell="C12" sqref="C12"/>
    </sheetView>
  </sheetViews>
  <sheetFormatPr defaultColWidth="8.640625" defaultRowHeight="14.15" x14ac:dyDescent="0.35"/>
  <sheetData>
    <row r="3" spans="1:3" ht="17.600000000000001" x14ac:dyDescent="0.4">
      <c r="A3" s="49" t="s">
        <v>77</v>
      </c>
      <c r="B3" s="49"/>
      <c r="C3" s="49"/>
    </row>
    <row r="4" spans="1:3" x14ac:dyDescent="0.35">
      <c r="A4" s="4" t="s">
        <v>13</v>
      </c>
      <c r="B4" s="4" t="s">
        <v>11</v>
      </c>
      <c r="C4" s="4" t="s">
        <v>12</v>
      </c>
    </row>
    <row r="5" spans="1:3" x14ac:dyDescent="0.35">
      <c r="A5" s="9" t="s">
        <v>33</v>
      </c>
      <c r="B5" s="8">
        <v>0.33680555555555558</v>
      </c>
      <c r="C5" s="8">
        <v>0.62430555555555556</v>
      </c>
    </row>
    <row r="6" spans="1:3" x14ac:dyDescent="0.35">
      <c r="A6" s="9" t="s">
        <v>35</v>
      </c>
      <c r="B6" s="8">
        <v>0.37152777777777779</v>
      </c>
      <c r="C6" s="8">
        <v>0.66666666666666663</v>
      </c>
    </row>
    <row r="7" spans="1:3" x14ac:dyDescent="0.35">
      <c r="A7" s="9" t="s">
        <v>23</v>
      </c>
      <c r="B7" s="8">
        <v>0.41319444444444442</v>
      </c>
      <c r="C7" s="8">
        <v>0.75138888888888888</v>
      </c>
    </row>
    <row r="8" spans="1:3" x14ac:dyDescent="0.35">
      <c r="A8" s="9" t="s">
        <v>28</v>
      </c>
      <c r="B8" s="8">
        <v>0.54166666666666663</v>
      </c>
      <c r="C8" s="8">
        <v>0.92083333333333328</v>
      </c>
    </row>
    <row r="9" spans="1:3" x14ac:dyDescent="0.35">
      <c r="A9" s="9" t="s">
        <v>84</v>
      </c>
      <c r="B9" s="8">
        <v>0.625</v>
      </c>
      <c r="C9" s="8">
        <v>6.9444444444444447E-4</v>
      </c>
    </row>
    <row r="10" spans="1:3" x14ac:dyDescent="0.35">
      <c r="A10" s="9" t="s">
        <v>90</v>
      </c>
      <c r="B10" s="8">
        <v>0.75</v>
      </c>
      <c r="C10" s="8">
        <v>0.05</v>
      </c>
    </row>
    <row r="11" spans="1:3" x14ac:dyDescent="0.35">
      <c r="A11" s="9" t="s">
        <v>85</v>
      </c>
      <c r="B11" s="8">
        <v>0.8569444444444444</v>
      </c>
      <c r="C11" s="8">
        <v>0.18333333333333332</v>
      </c>
    </row>
    <row r="12" spans="1:3" x14ac:dyDescent="0.35">
      <c r="A12" s="9" t="s">
        <v>100</v>
      </c>
      <c r="B12" s="8">
        <v>0.66666666666666663</v>
      </c>
      <c r="C12" s="8">
        <v>0.875</v>
      </c>
    </row>
  </sheetData>
  <mergeCells count="1">
    <mergeCell ref="A3:C3"/>
  </mergeCells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3BFB9-A104-42D1-85AF-AC4703BD5A2E}">
  <dimension ref="A3:G13"/>
  <sheetViews>
    <sheetView workbookViewId="0">
      <selection activeCell="B12" sqref="B12:C12"/>
    </sheetView>
  </sheetViews>
  <sheetFormatPr defaultRowHeight="14.15" x14ac:dyDescent="0.35"/>
  <sheetData>
    <row r="3" spans="1:7" ht="17.600000000000001" x14ac:dyDescent="0.4">
      <c r="A3" s="49" t="s">
        <v>76</v>
      </c>
      <c r="B3" s="49"/>
      <c r="C3" s="49"/>
    </row>
    <row r="4" spans="1:7" x14ac:dyDescent="0.35">
      <c r="A4" s="4" t="s">
        <v>13</v>
      </c>
      <c r="B4" s="4" t="s">
        <v>11</v>
      </c>
      <c r="C4" s="4" t="s">
        <v>12</v>
      </c>
      <c r="G4" s="27"/>
    </row>
    <row r="5" spans="1:7" x14ac:dyDescent="0.35">
      <c r="A5" s="9" t="s">
        <v>25</v>
      </c>
      <c r="B5" s="8">
        <v>0.19027777777777777</v>
      </c>
      <c r="C5" s="8">
        <v>0.54097222222222219</v>
      </c>
    </row>
    <row r="6" spans="1:7" x14ac:dyDescent="0.35">
      <c r="A6" s="9" t="s">
        <v>26</v>
      </c>
      <c r="B6" s="8">
        <v>0.24374999999999999</v>
      </c>
      <c r="C6" s="8">
        <v>0.58263888888888893</v>
      </c>
    </row>
    <row r="7" spans="1:7" x14ac:dyDescent="0.35">
      <c r="A7" s="9" t="s">
        <v>17</v>
      </c>
      <c r="B7" s="8">
        <v>0.28819444444444442</v>
      </c>
      <c r="C7" s="8">
        <v>0.49930555555555556</v>
      </c>
    </row>
    <row r="8" spans="1:7" x14ac:dyDescent="0.35">
      <c r="A8" s="9" t="s">
        <v>18</v>
      </c>
      <c r="B8" s="8">
        <v>0.45833333333333331</v>
      </c>
      <c r="C8" s="8">
        <v>0.74930555555555556</v>
      </c>
    </row>
    <row r="9" spans="1:7" x14ac:dyDescent="0.35">
      <c r="A9" s="9" t="s">
        <v>16</v>
      </c>
      <c r="B9" s="8">
        <v>0.58333333333333337</v>
      </c>
      <c r="C9" s="8">
        <v>0.98124999999999996</v>
      </c>
    </row>
    <row r="10" spans="1:7" x14ac:dyDescent="0.35">
      <c r="A10" s="9" t="s">
        <v>29</v>
      </c>
      <c r="B10" s="8">
        <v>0.66805555555555551</v>
      </c>
      <c r="C10" s="8">
        <v>1.0416666666666666E-2</v>
      </c>
    </row>
    <row r="11" spans="1:7" x14ac:dyDescent="0.35">
      <c r="A11" s="9" t="s">
        <v>24</v>
      </c>
      <c r="B11" s="8">
        <v>0.5</v>
      </c>
      <c r="C11" s="8">
        <v>0.70833333333333337</v>
      </c>
    </row>
    <row r="12" spans="1:7" x14ac:dyDescent="0.35">
      <c r="A12" s="9" t="s">
        <v>20</v>
      </c>
      <c r="B12" s="8">
        <v>0.8208333333333333</v>
      </c>
      <c r="C12" s="8">
        <v>0.16805555555555557</v>
      </c>
    </row>
    <row r="13" spans="1:7" x14ac:dyDescent="0.35">
      <c r="A13" s="9" t="s">
        <v>91</v>
      </c>
      <c r="B13" s="8">
        <v>0.70972222222222225</v>
      </c>
      <c r="C13" s="8">
        <v>9.0277777777777769E-3</v>
      </c>
    </row>
  </sheetData>
  <mergeCells count="1">
    <mergeCell ref="A3:C3"/>
  </mergeCells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C0EA1-6545-4E0D-BF06-75FEF9DCEBB6}">
  <dimension ref="A3:C13"/>
  <sheetViews>
    <sheetView workbookViewId="0">
      <selection activeCell="B5" sqref="B5:C13"/>
    </sheetView>
  </sheetViews>
  <sheetFormatPr defaultColWidth="9" defaultRowHeight="14.15" x14ac:dyDescent="0.35"/>
  <sheetData>
    <row r="3" spans="1:3" ht="17.600000000000001" x14ac:dyDescent="0.4">
      <c r="A3" s="49" t="s">
        <v>78</v>
      </c>
      <c r="B3" s="49"/>
      <c r="C3" s="49"/>
    </row>
    <row r="4" spans="1:3" x14ac:dyDescent="0.35">
      <c r="A4" s="4" t="s">
        <v>13</v>
      </c>
      <c r="B4" s="4" t="s">
        <v>11</v>
      </c>
      <c r="C4" s="4" t="s">
        <v>12</v>
      </c>
    </row>
    <row r="5" spans="1:3" x14ac:dyDescent="0.35">
      <c r="A5" s="9" t="s">
        <v>25</v>
      </c>
      <c r="B5" s="8">
        <v>0.19027777777777777</v>
      </c>
      <c r="C5" s="8">
        <v>0.54097222222222219</v>
      </c>
    </row>
    <row r="6" spans="1:3" x14ac:dyDescent="0.35">
      <c r="A6" s="9" t="s">
        <v>26</v>
      </c>
      <c r="B6" s="8">
        <v>0.24374999999999999</v>
      </c>
      <c r="C6" s="8">
        <v>0.58263888888888893</v>
      </c>
    </row>
    <row r="7" spans="1:3" x14ac:dyDescent="0.35">
      <c r="A7" s="9" t="s">
        <v>17</v>
      </c>
      <c r="B7" s="8">
        <v>0.28819444444444442</v>
      </c>
      <c r="C7" s="8">
        <v>0.49930555555555556</v>
      </c>
    </row>
    <row r="8" spans="1:3" x14ac:dyDescent="0.35">
      <c r="A8" s="9" t="s">
        <v>18</v>
      </c>
      <c r="B8" s="8">
        <v>0.45833333333333331</v>
      </c>
      <c r="C8" s="8">
        <v>0.74930555555555556</v>
      </c>
    </row>
    <row r="9" spans="1:3" x14ac:dyDescent="0.35">
      <c r="A9" s="9" t="s">
        <v>16</v>
      </c>
      <c r="B9" s="8">
        <v>0.58333333333333337</v>
      </c>
      <c r="C9" s="8">
        <v>0.98124999999999996</v>
      </c>
    </row>
    <row r="10" spans="1:3" x14ac:dyDescent="0.35">
      <c r="A10" s="9" t="s">
        <v>29</v>
      </c>
      <c r="B10" s="8">
        <v>0.66805555555555551</v>
      </c>
      <c r="C10" s="8">
        <v>1.0416666666666666E-2</v>
      </c>
    </row>
    <row r="11" spans="1:3" x14ac:dyDescent="0.35">
      <c r="A11" s="9" t="s">
        <v>24</v>
      </c>
      <c r="B11" s="8">
        <v>0.5</v>
      </c>
      <c r="C11" s="8">
        <v>0.70833333333333337</v>
      </c>
    </row>
    <row r="12" spans="1:3" x14ac:dyDescent="0.35">
      <c r="A12" s="9" t="s">
        <v>20</v>
      </c>
      <c r="B12" s="8">
        <v>0.8208333333333333</v>
      </c>
      <c r="C12" s="8">
        <v>0.16805555555555557</v>
      </c>
    </row>
    <row r="13" spans="1:3" x14ac:dyDescent="0.35">
      <c r="A13" s="9" t="s">
        <v>91</v>
      </c>
      <c r="B13" s="8">
        <v>0.70972222222222225</v>
      </c>
      <c r="C13" s="8">
        <v>9.0277777777777769E-3</v>
      </c>
    </row>
  </sheetData>
  <mergeCells count="1">
    <mergeCell ref="A3:C3"/>
  </mergeCells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B0E50-6BEC-4346-B013-E73A33180E46}">
  <dimension ref="A3:C13"/>
  <sheetViews>
    <sheetView workbookViewId="0">
      <selection activeCell="B5" sqref="B5:C13"/>
    </sheetView>
  </sheetViews>
  <sheetFormatPr defaultColWidth="9" defaultRowHeight="14.15" x14ac:dyDescent="0.35"/>
  <sheetData>
    <row r="3" spans="1:3" ht="17.600000000000001" x14ac:dyDescent="0.4">
      <c r="A3" s="49" t="s">
        <v>79</v>
      </c>
      <c r="B3" s="49"/>
      <c r="C3" s="49"/>
    </row>
    <row r="4" spans="1:3" x14ac:dyDescent="0.35">
      <c r="A4" s="4" t="s">
        <v>13</v>
      </c>
      <c r="B4" s="4" t="s">
        <v>11</v>
      </c>
      <c r="C4" s="4" t="s">
        <v>12</v>
      </c>
    </row>
    <row r="5" spans="1:3" x14ac:dyDescent="0.35">
      <c r="A5" s="9" t="s">
        <v>25</v>
      </c>
      <c r="B5" s="8">
        <v>0.19027777777777777</v>
      </c>
      <c r="C5" s="8">
        <v>0.54097222222222219</v>
      </c>
    </row>
    <row r="6" spans="1:3" x14ac:dyDescent="0.35">
      <c r="A6" s="9" t="s">
        <v>26</v>
      </c>
      <c r="B6" s="8">
        <v>0.24374999999999999</v>
      </c>
      <c r="C6" s="8">
        <v>0.58263888888888893</v>
      </c>
    </row>
    <row r="7" spans="1:3" x14ac:dyDescent="0.35">
      <c r="A7" s="9" t="s">
        <v>17</v>
      </c>
      <c r="B7" s="8">
        <v>0.28819444444444442</v>
      </c>
      <c r="C7" s="8">
        <v>0.49930555555555556</v>
      </c>
    </row>
    <row r="8" spans="1:3" x14ac:dyDescent="0.35">
      <c r="A8" s="9" t="s">
        <v>18</v>
      </c>
      <c r="B8" s="8">
        <v>0.45833333333333331</v>
      </c>
      <c r="C8" s="8">
        <v>0.74930555555555556</v>
      </c>
    </row>
    <row r="9" spans="1:3" x14ac:dyDescent="0.35">
      <c r="A9" s="9" t="s">
        <v>16</v>
      </c>
      <c r="B9" s="8">
        <v>0.58333333333333337</v>
      </c>
      <c r="C9" s="8">
        <v>0.98124999999999996</v>
      </c>
    </row>
    <row r="10" spans="1:3" x14ac:dyDescent="0.35">
      <c r="A10" s="9" t="s">
        <v>29</v>
      </c>
      <c r="B10" s="8">
        <v>0.66805555555555551</v>
      </c>
      <c r="C10" s="8">
        <v>1.0416666666666666E-2</v>
      </c>
    </row>
    <row r="11" spans="1:3" x14ac:dyDescent="0.35">
      <c r="A11" s="9" t="s">
        <v>24</v>
      </c>
      <c r="B11" s="8">
        <v>0.5</v>
      </c>
      <c r="C11" s="8">
        <v>0.70833333333333337</v>
      </c>
    </row>
    <row r="12" spans="1:3" x14ac:dyDescent="0.35">
      <c r="A12" s="9" t="s">
        <v>20</v>
      </c>
      <c r="B12" s="8">
        <v>0.8208333333333333</v>
      </c>
      <c r="C12" s="8">
        <v>0.16805555555555557</v>
      </c>
    </row>
    <row r="13" spans="1:3" x14ac:dyDescent="0.35">
      <c r="A13" s="9" t="s">
        <v>91</v>
      </c>
      <c r="B13" s="8">
        <v>0.70972222222222225</v>
      </c>
      <c r="C13" s="8">
        <v>9.0277777777777769E-3</v>
      </c>
    </row>
  </sheetData>
  <mergeCells count="1">
    <mergeCell ref="A3:C3"/>
  </mergeCells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57B40-03E2-45AF-B389-30A07BF455AA}">
  <dimension ref="A3:C13"/>
  <sheetViews>
    <sheetView workbookViewId="0">
      <selection activeCell="B5" sqref="B5:C13"/>
    </sheetView>
  </sheetViews>
  <sheetFormatPr defaultColWidth="9" defaultRowHeight="14.15" x14ac:dyDescent="0.35"/>
  <sheetData>
    <row r="3" spans="1:3" ht="17.600000000000001" x14ac:dyDescent="0.4">
      <c r="A3" s="49" t="s">
        <v>80</v>
      </c>
      <c r="B3" s="49"/>
      <c r="C3" s="49"/>
    </row>
    <row r="4" spans="1:3" x14ac:dyDescent="0.35">
      <c r="A4" s="4" t="s">
        <v>13</v>
      </c>
      <c r="B4" s="4" t="s">
        <v>11</v>
      </c>
      <c r="C4" s="4" t="s">
        <v>12</v>
      </c>
    </row>
    <row r="5" spans="1:3" x14ac:dyDescent="0.35">
      <c r="A5" s="9" t="s">
        <v>25</v>
      </c>
      <c r="B5" s="8">
        <v>0.19027777777777777</v>
      </c>
      <c r="C5" s="8">
        <v>0.54097222222222219</v>
      </c>
    </row>
    <row r="6" spans="1:3" x14ac:dyDescent="0.35">
      <c r="A6" s="9" t="s">
        <v>26</v>
      </c>
      <c r="B6" s="8">
        <v>0.24374999999999999</v>
      </c>
      <c r="C6" s="8">
        <v>0.58263888888888893</v>
      </c>
    </row>
    <row r="7" spans="1:3" x14ac:dyDescent="0.35">
      <c r="A7" s="9" t="s">
        <v>17</v>
      </c>
      <c r="B7" s="8">
        <v>0.28819444444444442</v>
      </c>
      <c r="C7" s="8">
        <v>0.49930555555555556</v>
      </c>
    </row>
    <row r="8" spans="1:3" x14ac:dyDescent="0.35">
      <c r="A8" s="9" t="s">
        <v>18</v>
      </c>
      <c r="B8" s="8">
        <v>0.45833333333333331</v>
      </c>
      <c r="C8" s="8">
        <v>0.74930555555555556</v>
      </c>
    </row>
    <row r="9" spans="1:3" x14ac:dyDescent="0.35">
      <c r="A9" s="9" t="s">
        <v>16</v>
      </c>
      <c r="B9" s="8">
        <v>0.58333333333333337</v>
      </c>
      <c r="C9" s="8">
        <v>0.98124999999999996</v>
      </c>
    </row>
    <row r="10" spans="1:3" x14ac:dyDescent="0.35">
      <c r="A10" s="9" t="s">
        <v>29</v>
      </c>
      <c r="B10" s="8">
        <v>0.66805555555555551</v>
      </c>
      <c r="C10" s="8">
        <v>1.0416666666666666E-2</v>
      </c>
    </row>
    <row r="11" spans="1:3" x14ac:dyDescent="0.35">
      <c r="A11" s="9" t="s">
        <v>24</v>
      </c>
      <c r="B11" s="8">
        <v>0.5</v>
      </c>
      <c r="C11" s="8">
        <v>0.70833333333333337</v>
      </c>
    </row>
    <row r="12" spans="1:3" x14ac:dyDescent="0.35">
      <c r="A12" s="9" t="s">
        <v>20</v>
      </c>
      <c r="B12" s="8">
        <v>0.8208333333333333</v>
      </c>
      <c r="C12" s="8">
        <v>0.16805555555555557</v>
      </c>
    </row>
    <row r="13" spans="1:3" x14ac:dyDescent="0.35">
      <c r="A13" s="9" t="s">
        <v>91</v>
      </c>
      <c r="B13" s="8">
        <v>0.70972222222222225</v>
      </c>
      <c r="C13" s="8">
        <v>9.0277777777777769E-3</v>
      </c>
    </row>
  </sheetData>
  <mergeCells count="1">
    <mergeCell ref="A3:C3"/>
  </mergeCells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D1C81-959F-485D-BAA9-61517D7ED89F}">
  <dimension ref="A3:C13"/>
  <sheetViews>
    <sheetView workbookViewId="0">
      <selection activeCell="B10" sqref="B10:C10"/>
    </sheetView>
  </sheetViews>
  <sheetFormatPr defaultColWidth="9" defaultRowHeight="14.15" x14ac:dyDescent="0.35"/>
  <sheetData>
    <row r="3" spans="1:3" ht="17.600000000000001" x14ac:dyDescent="0.4">
      <c r="A3" s="49" t="s">
        <v>81</v>
      </c>
      <c r="B3" s="49"/>
      <c r="C3" s="49"/>
    </row>
    <row r="4" spans="1:3" x14ac:dyDescent="0.35">
      <c r="A4" s="4" t="s">
        <v>13</v>
      </c>
      <c r="B4" s="4" t="s">
        <v>11</v>
      </c>
      <c r="C4" s="4" t="s">
        <v>12</v>
      </c>
    </row>
    <row r="5" spans="1:3" x14ac:dyDescent="0.35">
      <c r="A5" s="9" t="s">
        <v>25</v>
      </c>
      <c r="B5" s="8">
        <v>0.19027777777777777</v>
      </c>
      <c r="C5" s="8">
        <v>0.54097222222222219</v>
      </c>
    </row>
    <row r="6" spans="1:3" x14ac:dyDescent="0.35">
      <c r="A6" s="9" t="s">
        <v>26</v>
      </c>
      <c r="B6" s="8">
        <v>0.24374999999999999</v>
      </c>
      <c r="C6" s="8">
        <v>0.58263888888888893</v>
      </c>
    </row>
    <row r="7" spans="1:3" x14ac:dyDescent="0.35">
      <c r="A7" s="9" t="s">
        <v>17</v>
      </c>
      <c r="B7" s="8">
        <v>0.28819444444444442</v>
      </c>
      <c r="C7" s="8">
        <v>0.49930555555555556</v>
      </c>
    </row>
    <row r="8" spans="1:3" x14ac:dyDescent="0.35">
      <c r="A8" s="9" t="s">
        <v>18</v>
      </c>
      <c r="B8" s="8">
        <v>0.45833333333333331</v>
      </c>
      <c r="C8" s="8">
        <v>0.74930555555555556</v>
      </c>
    </row>
    <row r="9" spans="1:3" x14ac:dyDescent="0.35">
      <c r="A9" s="9" t="s">
        <v>16</v>
      </c>
      <c r="B9" s="8">
        <v>0.58333333333333337</v>
      </c>
      <c r="C9" s="8">
        <v>0.98124999999999996</v>
      </c>
    </row>
    <row r="10" spans="1:3" x14ac:dyDescent="0.35">
      <c r="A10" s="9" t="s">
        <v>29</v>
      </c>
      <c r="B10" s="8">
        <v>0.66805555555555551</v>
      </c>
      <c r="C10" s="8">
        <v>1.0416666666666666E-2</v>
      </c>
    </row>
    <row r="11" spans="1:3" x14ac:dyDescent="0.35">
      <c r="A11" s="9" t="s">
        <v>24</v>
      </c>
      <c r="B11" s="8">
        <v>0.5</v>
      </c>
      <c r="C11" s="8">
        <v>0.70833333333333337</v>
      </c>
    </row>
    <row r="12" spans="1:3" x14ac:dyDescent="0.35">
      <c r="A12" s="9" t="s">
        <v>20</v>
      </c>
      <c r="B12" s="8">
        <v>0.8208333333333333</v>
      </c>
      <c r="C12" s="8">
        <v>0.16805555555555557</v>
      </c>
    </row>
    <row r="13" spans="1:3" x14ac:dyDescent="0.35">
      <c r="A13" s="9" t="s">
        <v>91</v>
      </c>
      <c r="B13" s="8">
        <v>0.70972222222222225</v>
      </c>
      <c r="C13" s="8">
        <v>9.0277777777777769E-3</v>
      </c>
    </row>
  </sheetData>
  <mergeCells count="1">
    <mergeCell ref="A3:C3"/>
  </mergeCells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078CE-88DD-4486-8270-040336BA7BB7}">
  <dimension ref="A3:C13"/>
  <sheetViews>
    <sheetView workbookViewId="0">
      <selection activeCell="B14" sqref="B14"/>
    </sheetView>
  </sheetViews>
  <sheetFormatPr defaultColWidth="9" defaultRowHeight="14.15" x14ac:dyDescent="0.35"/>
  <sheetData>
    <row r="3" spans="1:3" ht="17.600000000000001" x14ac:dyDescent="0.4">
      <c r="A3" s="49" t="s">
        <v>82</v>
      </c>
      <c r="B3" s="49"/>
      <c r="C3" s="49"/>
    </row>
    <row r="4" spans="1:3" x14ac:dyDescent="0.35">
      <c r="A4" s="4" t="s">
        <v>13</v>
      </c>
      <c r="B4" s="4" t="s">
        <v>11</v>
      </c>
      <c r="C4" s="4" t="s">
        <v>12</v>
      </c>
    </row>
    <row r="5" spans="1:3" x14ac:dyDescent="0.35">
      <c r="A5" s="9" t="s">
        <v>27</v>
      </c>
      <c r="B5" s="8">
        <v>0.19027777777777777</v>
      </c>
      <c r="C5" s="8">
        <v>0.54097222222222219</v>
      </c>
    </row>
    <row r="6" spans="1:3" x14ac:dyDescent="0.35">
      <c r="A6" s="9" t="s">
        <v>19</v>
      </c>
      <c r="B6" s="8">
        <v>0.24374999999999999</v>
      </c>
      <c r="C6" s="8">
        <v>0.58263888888888893</v>
      </c>
    </row>
    <row r="7" spans="1:3" x14ac:dyDescent="0.35">
      <c r="A7" s="9" t="s">
        <v>31</v>
      </c>
      <c r="B7" s="8">
        <v>0.28819444444444442</v>
      </c>
      <c r="C7" s="8">
        <v>0.49930555555555556</v>
      </c>
    </row>
    <row r="8" spans="1:3" x14ac:dyDescent="0.35">
      <c r="A8" s="9" t="s">
        <v>21</v>
      </c>
      <c r="B8" s="8">
        <v>0.45833333333333331</v>
      </c>
      <c r="C8" s="8">
        <v>0.74930555555555556</v>
      </c>
    </row>
    <row r="9" spans="1:3" x14ac:dyDescent="0.35">
      <c r="A9" s="9" t="s">
        <v>30</v>
      </c>
      <c r="B9" s="8">
        <v>0.5</v>
      </c>
      <c r="C9" s="8">
        <v>0.70833333333333337</v>
      </c>
    </row>
    <row r="10" spans="1:3" x14ac:dyDescent="0.35">
      <c r="A10" s="9" t="s">
        <v>32</v>
      </c>
      <c r="B10" s="8">
        <v>0.58333333333333337</v>
      </c>
      <c r="C10" s="8">
        <v>0.96666666666666667</v>
      </c>
    </row>
    <row r="11" spans="1:3" x14ac:dyDescent="0.35">
      <c r="A11" s="9" t="s">
        <v>34</v>
      </c>
      <c r="B11" s="8">
        <v>0.66805555555555551</v>
      </c>
      <c r="C11" s="8">
        <v>7.6388888888888886E-3</v>
      </c>
    </row>
    <row r="12" spans="1:3" x14ac:dyDescent="0.35">
      <c r="A12" s="9" t="s">
        <v>22</v>
      </c>
      <c r="B12" s="8">
        <v>0.70972222222222225</v>
      </c>
      <c r="C12" s="8">
        <v>6.5277777777777782E-2</v>
      </c>
    </row>
    <row r="13" spans="1:3" x14ac:dyDescent="0.35">
      <c r="A13" s="9" t="s">
        <v>92</v>
      </c>
      <c r="B13" s="8">
        <v>0.90138888888888891</v>
      </c>
      <c r="C13" s="8">
        <v>0.23055555555555557</v>
      </c>
    </row>
  </sheetData>
  <mergeCells count="1">
    <mergeCell ref="A3:C3"/>
  </mergeCells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20C81-855B-4A95-9CAA-7B340A65CE17}">
  <dimension ref="A1:K34"/>
  <sheetViews>
    <sheetView zoomScale="70" zoomScaleNormal="70" workbookViewId="0">
      <selection activeCell="A35" sqref="A35"/>
    </sheetView>
  </sheetViews>
  <sheetFormatPr defaultColWidth="8.640625" defaultRowHeight="14.15" x14ac:dyDescent="0.35"/>
  <cols>
    <col min="1" max="8" width="17" style="34" bestFit="1" customWidth="1"/>
    <col min="9" max="11" width="15.140625" style="34" bestFit="1" customWidth="1"/>
    <col min="12" max="15" width="9.640625" style="34" bestFit="1" customWidth="1"/>
    <col min="16" max="16384" width="8.640625" style="34"/>
  </cols>
  <sheetData>
    <row r="1" spans="1:11" x14ac:dyDescent="0.35">
      <c r="A1" s="33">
        <v>46005</v>
      </c>
      <c r="B1" s="33">
        <f>A1+7</f>
        <v>46012</v>
      </c>
      <c r="C1" s="33">
        <f>B1+7</f>
        <v>46019</v>
      </c>
      <c r="D1" s="33">
        <f>C1+7</f>
        <v>46026</v>
      </c>
      <c r="E1" s="33">
        <f>D1+7</f>
        <v>46033</v>
      </c>
      <c r="F1" s="33">
        <f t="shared" ref="F1:H1" si="0">E1+7</f>
        <v>46040</v>
      </c>
      <c r="G1" s="33">
        <f t="shared" si="0"/>
        <v>46047</v>
      </c>
      <c r="H1" s="33">
        <f t="shared" si="0"/>
        <v>46054</v>
      </c>
      <c r="I1" s="33"/>
      <c r="J1" s="33"/>
      <c r="K1" s="35"/>
    </row>
    <row r="2" spans="1:11" x14ac:dyDescent="0.35">
      <c r="A2" s="36" t="s">
        <v>102</v>
      </c>
      <c r="B2" s="36" t="s">
        <v>63</v>
      </c>
      <c r="C2" s="36" t="s">
        <v>52</v>
      </c>
      <c r="D2" s="36" t="s">
        <v>51</v>
      </c>
      <c r="E2" s="36" t="s">
        <v>50</v>
      </c>
      <c r="F2" s="36" t="s">
        <v>83</v>
      </c>
      <c r="G2" s="36" t="s">
        <v>49</v>
      </c>
      <c r="H2" s="36" t="s">
        <v>48</v>
      </c>
    </row>
    <row r="3" spans="1:11" x14ac:dyDescent="0.35">
      <c r="A3" s="36" t="s">
        <v>53</v>
      </c>
      <c r="B3" s="36" t="s">
        <v>102</v>
      </c>
      <c r="C3" s="36" t="s">
        <v>63</v>
      </c>
      <c r="D3" s="36" t="s">
        <v>52</v>
      </c>
      <c r="E3" s="36" t="s">
        <v>51</v>
      </c>
      <c r="F3" s="36" t="s">
        <v>50</v>
      </c>
      <c r="G3" s="36" t="s">
        <v>83</v>
      </c>
      <c r="H3" s="36" t="s">
        <v>49</v>
      </c>
    </row>
    <row r="4" spans="1:11" x14ac:dyDescent="0.35">
      <c r="A4" s="36" t="s">
        <v>101</v>
      </c>
      <c r="B4" s="36" t="s">
        <v>53</v>
      </c>
      <c r="C4" s="36" t="s">
        <v>102</v>
      </c>
      <c r="D4" s="36" t="s">
        <v>63</v>
      </c>
      <c r="E4" s="36" t="s">
        <v>52</v>
      </c>
      <c r="F4" s="36" t="s">
        <v>51</v>
      </c>
      <c r="G4" s="36" t="s">
        <v>50</v>
      </c>
      <c r="H4" s="36" t="s">
        <v>83</v>
      </c>
    </row>
    <row r="5" spans="1:11" x14ac:dyDescent="0.35">
      <c r="A5" s="36" t="s">
        <v>94</v>
      </c>
      <c r="B5" s="36" t="s">
        <v>101</v>
      </c>
      <c r="C5" s="36" t="s">
        <v>53</v>
      </c>
      <c r="D5" s="36" t="s">
        <v>102</v>
      </c>
      <c r="E5" s="36" t="s">
        <v>63</v>
      </c>
      <c r="F5" s="36" t="s">
        <v>52</v>
      </c>
      <c r="G5" s="36" t="s">
        <v>51</v>
      </c>
      <c r="H5" s="36" t="s">
        <v>50</v>
      </c>
    </row>
    <row r="6" spans="1:11" x14ac:dyDescent="0.35">
      <c r="A6" s="36" t="s">
        <v>95</v>
      </c>
      <c r="B6" s="36" t="s">
        <v>94</v>
      </c>
      <c r="C6" s="36" t="s">
        <v>101</v>
      </c>
      <c r="D6" s="36" t="s">
        <v>53</v>
      </c>
      <c r="E6" s="36" t="s">
        <v>102</v>
      </c>
      <c r="F6" s="36" t="s">
        <v>63</v>
      </c>
      <c r="G6" s="36" t="s">
        <v>52</v>
      </c>
      <c r="H6" s="36" t="s">
        <v>51</v>
      </c>
    </row>
    <row r="7" spans="1:11" x14ac:dyDescent="0.35">
      <c r="A7" s="36" t="s">
        <v>96</v>
      </c>
      <c r="B7" s="36" t="s">
        <v>95</v>
      </c>
      <c r="C7" s="36" t="s">
        <v>94</v>
      </c>
      <c r="D7" s="36" t="s">
        <v>101</v>
      </c>
      <c r="E7" s="36" t="s">
        <v>53</v>
      </c>
      <c r="F7" s="36" t="s">
        <v>102</v>
      </c>
      <c r="G7" s="36" t="s">
        <v>63</v>
      </c>
      <c r="H7" s="36" t="s">
        <v>52</v>
      </c>
    </row>
    <row r="8" spans="1:11" x14ac:dyDescent="0.35">
      <c r="A8" s="36" t="s">
        <v>54</v>
      </c>
      <c r="B8" s="36" t="s">
        <v>96</v>
      </c>
      <c r="C8" s="36" t="s">
        <v>95</v>
      </c>
      <c r="D8" s="36" t="s">
        <v>94</v>
      </c>
      <c r="E8" s="36" t="s">
        <v>101</v>
      </c>
      <c r="F8" s="36" t="s">
        <v>53</v>
      </c>
      <c r="G8" s="36" t="s">
        <v>102</v>
      </c>
      <c r="H8" s="36" t="s">
        <v>63</v>
      </c>
    </row>
    <row r="9" spans="1:11" x14ac:dyDescent="0.35">
      <c r="A9" s="36" t="s">
        <v>55</v>
      </c>
      <c r="B9" s="36" t="s">
        <v>54</v>
      </c>
      <c r="C9" s="36" t="s">
        <v>96</v>
      </c>
      <c r="D9" s="36" t="s">
        <v>95</v>
      </c>
      <c r="E9" s="36" t="s">
        <v>94</v>
      </c>
      <c r="F9" s="36" t="s">
        <v>101</v>
      </c>
      <c r="G9" s="36" t="s">
        <v>53</v>
      </c>
      <c r="H9" s="36" t="s">
        <v>102</v>
      </c>
    </row>
    <row r="10" spans="1:11" x14ac:dyDescent="0.35">
      <c r="A10" s="36" t="s">
        <v>56</v>
      </c>
      <c r="B10" s="36" t="s">
        <v>55</v>
      </c>
      <c r="C10" s="36" t="s">
        <v>54</v>
      </c>
      <c r="D10" s="36" t="s">
        <v>96</v>
      </c>
      <c r="E10" s="36" t="s">
        <v>95</v>
      </c>
      <c r="F10" s="36" t="s">
        <v>94</v>
      </c>
      <c r="G10" s="36" t="s">
        <v>101</v>
      </c>
      <c r="H10" s="36" t="s">
        <v>53</v>
      </c>
    </row>
    <row r="11" spans="1:11" x14ac:dyDescent="0.35">
      <c r="A11" s="36" t="s">
        <v>99</v>
      </c>
      <c r="B11" s="36" t="s">
        <v>56</v>
      </c>
      <c r="C11" s="36" t="s">
        <v>55</v>
      </c>
      <c r="D11" s="36" t="s">
        <v>54</v>
      </c>
      <c r="E11" s="36" t="s">
        <v>96</v>
      </c>
      <c r="F11" s="36" t="s">
        <v>95</v>
      </c>
      <c r="G11" s="36" t="s">
        <v>94</v>
      </c>
      <c r="H11" s="36" t="s">
        <v>101</v>
      </c>
    </row>
    <row r="12" spans="1:11" x14ac:dyDescent="0.35">
      <c r="A12" s="37" t="s">
        <v>57</v>
      </c>
      <c r="B12" s="36" t="s">
        <v>99</v>
      </c>
      <c r="C12" s="36" t="s">
        <v>56</v>
      </c>
      <c r="D12" s="36" t="s">
        <v>55</v>
      </c>
      <c r="E12" s="36" t="s">
        <v>54</v>
      </c>
      <c r="F12" s="36" t="s">
        <v>96</v>
      </c>
      <c r="G12" s="36" t="s">
        <v>95</v>
      </c>
      <c r="H12" s="36" t="s">
        <v>94</v>
      </c>
    </row>
    <row r="13" spans="1:11" x14ac:dyDescent="0.35">
      <c r="A13" s="36" t="s">
        <v>58</v>
      </c>
      <c r="B13" s="37" t="s">
        <v>57</v>
      </c>
      <c r="C13" s="36" t="s">
        <v>99</v>
      </c>
      <c r="D13" s="36" t="s">
        <v>56</v>
      </c>
      <c r="E13" s="36" t="s">
        <v>55</v>
      </c>
      <c r="F13" s="36" t="s">
        <v>54</v>
      </c>
      <c r="G13" s="36" t="s">
        <v>96</v>
      </c>
      <c r="H13" s="36" t="s">
        <v>95</v>
      </c>
    </row>
    <row r="14" spans="1:11" x14ac:dyDescent="0.35">
      <c r="A14" s="36" t="s">
        <v>59</v>
      </c>
      <c r="B14" s="36" t="s">
        <v>58</v>
      </c>
      <c r="C14" s="37" t="s">
        <v>57</v>
      </c>
      <c r="D14" s="36" t="s">
        <v>99</v>
      </c>
      <c r="E14" s="36" t="s">
        <v>56</v>
      </c>
      <c r="F14" s="36" t="s">
        <v>55</v>
      </c>
      <c r="G14" s="36" t="s">
        <v>54</v>
      </c>
      <c r="H14" s="36" t="s">
        <v>96</v>
      </c>
    </row>
    <row r="15" spans="1:11" x14ac:dyDescent="0.35">
      <c r="A15" s="36" t="s">
        <v>60</v>
      </c>
      <c r="B15" s="36" t="s">
        <v>59</v>
      </c>
      <c r="C15" s="36" t="s">
        <v>58</v>
      </c>
      <c r="D15" s="37" t="s">
        <v>57</v>
      </c>
      <c r="E15" s="36" t="s">
        <v>99</v>
      </c>
      <c r="F15" s="36" t="s">
        <v>56</v>
      </c>
      <c r="G15" s="36" t="s">
        <v>55</v>
      </c>
      <c r="H15" s="36" t="s">
        <v>54</v>
      </c>
    </row>
    <row r="16" spans="1:11" x14ac:dyDescent="0.35">
      <c r="A16" s="36" t="s">
        <v>61</v>
      </c>
      <c r="B16" s="36" t="s">
        <v>60</v>
      </c>
      <c r="C16" s="36" t="s">
        <v>59</v>
      </c>
      <c r="D16" s="36" t="s">
        <v>58</v>
      </c>
      <c r="E16" s="37" t="s">
        <v>57</v>
      </c>
      <c r="F16" s="36" t="s">
        <v>99</v>
      </c>
      <c r="G16" s="36" t="s">
        <v>56</v>
      </c>
      <c r="H16" s="36" t="s">
        <v>55</v>
      </c>
    </row>
    <row r="17" spans="1:8" x14ac:dyDescent="0.35">
      <c r="A17" s="34" t="s">
        <v>88</v>
      </c>
      <c r="B17" s="36" t="s">
        <v>61</v>
      </c>
      <c r="C17" s="36" t="s">
        <v>60</v>
      </c>
      <c r="D17" s="36" t="s">
        <v>59</v>
      </c>
      <c r="E17" s="36" t="s">
        <v>58</v>
      </c>
      <c r="F17" s="37" t="s">
        <v>57</v>
      </c>
      <c r="G17" s="36" t="s">
        <v>99</v>
      </c>
      <c r="H17" s="36" t="s">
        <v>56</v>
      </c>
    </row>
    <row r="18" spans="1:8" x14ac:dyDescent="0.35">
      <c r="A18" s="36" t="s">
        <v>93</v>
      </c>
      <c r="B18" s="34" t="s">
        <v>88</v>
      </c>
      <c r="C18" s="36" t="s">
        <v>61</v>
      </c>
      <c r="D18" s="36" t="s">
        <v>60</v>
      </c>
      <c r="E18" s="36" t="s">
        <v>59</v>
      </c>
      <c r="F18" s="36" t="s">
        <v>58</v>
      </c>
      <c r="G18" s="37" t="s">
        <v>57</v>
      </c>
      <c r="H18" s="36" t="s">
        <v>99</v>
      </c>
    </row>
    <row r="19" spans="1:8" x14ac:dyDescent="0.35">
      <c r="A19" s="38" t="s">
        <v>62</v>
      </c>
      <c r="B19" s="36" t="s">
        <v>93</v>
      </c>
      <c r="C19" s="34" t="s">
        <v>88</v>
      </c>
      <c r="D19" s="36" t="s">
        <v>61</v>
      </c>
      <c r="E19" s="36" t="s">
        <v>60</v>
      </c>
      <c r="F19" s="36" t="s">
        <v>59</v>
      </c>
      <c r="G19" s="36" t="s">
        <v>58</v>
      </c>
      <c r="H19" s="37" t="s">
        <v>57</v>
      </c>
    </row>
    <row r="20" spans="1:8" x14ac:dyDescent="0.35">
      <c r="A20" s="36" t="s">
        <v>98</v>
      </c>
      <c r="B20" s="38" t="s">
        <v>62</v>
      </c>
      <c r="C20" s="36" t="s">
        <v>93</v>
      </c>
      <c r="D20" s="34" t="s">
        <v>88</v>
      </c>
      <c r="E20" s="36" t="s">
        <v>61</v>
      </c>
      <c r="F20" s="36" t="s">
        <v>60</v>
      </c>
      <c r="G20" s="36" t="s">
        <v>59</v>
      </c>
      <c r="H20" s="36" t="s">
        <v>58</v>
      </c>
    </row>
    <row r="21" spans="1:8" x14ac:dyDescent="0.35">
      <c r="A21" s="36" t="s">
        <v>43</v>
      </c>
      <c r="B21" s="36" t="s">
        <v>98</v>
      </c>
      <c r="C21" s="38" t="s">
        <v>62</v>
      </c>
      <c r="D21" s="36" t="s">
        <v>93</v>
      </c>
      <c r="E21" s="34" t="s">
        <v>88</v>
      </c>
      <c r="F21" s="36" t="s">
        <v>61</v>
      </c>
      <c r="G21" s="36" t="s">
        <v>60</v>
      </c>
      <c r="H21" s="36" t="s">
        <v>59</v>
      </c>
    </row>
    <row r="22" spans="1:8" x14ac:dyDescent="0.35">
      <c r="A22" s="36" t="s">
        <v>44</v>
      </c>
      <c r="B22" s="36" t="s">
        <v>43</v>
      </c>
      <c r="C22" s="36" t="s">
        <v>98</v>
      </c>
      <c r="D22" s="38" t="s">
        <v>62</v>
      </c>
      <c r="E22" s="36" t="s">
        <v>93</v>
      </c>
      <c r="F22" s="34" t="s">
        <v>88</v>
      </c>
      <c r="G22" s="36" t="s">
        <v>61</v>
      </c>
      <c r="H22" s="36" t="s">
        <v>60</v>
      </c>
    </row>
    <row r="23" spans="1:8" x14ac:dyDescent="0.35">
      <c r="A23" s="34" t="s">
        <v>86</v>
      </c>
      <c r="B23" s="36" t="s">
        <v>44</v>
      </c>
      <c r="C23" s="36" t="s">
        <v>43</v>
      </c>
      <c r="D23" s="36" t="s">
        <v>98</v>
      </c>
      <c r="E23" s="38" t="s">
        <v>62</v>
      </c>
      <c r="F23" s="36" t="s">
        <v>93</v>
      </c>
      <c r="G23" s="34" t="s">
        <v>88</v>
      </c>
      <c r="H23" s="36" t="s">
        <v>61</v>
      </c>
    </row>
    <row r="24" spans="1:8" x14ac:dyDescent="0.35">
      <c r="A24" s="36" t="s">
        <v>45</v>
      </c>
      <c r="B24" s="34" t="s">
        <v>86</v>
      </c>
      <c r="C24" s="36" t="s">
        <v>44</v>
      </c>
      <c r="D24" s="36" t="s">
        <v>43</v>
      </c>
      <c r="E24" s="36" t="s">
        <v>98</v>
      </c>
      <c r="F24" s="38" t="s">
        <v>62</v>
      </c>
      <c r="G24" s="36" t="s">
        <v>93</v>
      </c>
      <c r="H24" s="34" t="s">
        <v>88</v>
      </c>
    </row>
    <row r="25" spans="1:8" x14ac:dyDescent="0.35">
      <c r="A25" s="36" t="s">
        <v>46</v>
      </c>
      <c r="B25" s="36" t="s">
        <v>45</v>
      </c>
      <c r="C25" s="34" t="s">
        <v>86</v>
      </c>
      <c r="D25" s="36" t="s">
        <v>44</v>
      </c>
      <c r="E25" s="36" t="s">
        <v>43</v>
      </c>
      <c r="F25" s="36" t="s">
        <v>98</v>
      </c>
      <c r="G25" s="38" t="s">
        <v>62</v>
      </c>
      <c r="H25" s="36" t="s">
        <v>93</v>
      </c>
    </row>
    <row r="26" spans="1:8" x14ac:dyDescent="0.35">
      <c r="A26" s="34" t="s">
        <v>87</v>
      </c>
      <c r="B26" s="36" t="s">
        <v>46</v>
      </c>
      <c r="C26" s="36" t="s">
        <v>45</v>
      </c>
      <c r="D26" s="34" t="s">
        <v>86</v>
      </c>
      <c r="E26" s="36" t="s">
        <v>44</v>
      </c>
      <c r="F26" s="36" t="s">
        <v>43</v>
      </c>
      <c r="G26" s="36" t="s">
        <v>98</v>
      </c>
      <c r="H26" s="38" t="s">
        <v>62</v>
      </c>
    </row>
    <row r="27" spans="1:8" x14ac:dyDescent="0.35">
      <c r="A27" s="36" t="s">
        <v>47</v>
      </c>
      <c r="B27" s="34" t="s">
        <v>87</v>
      </c>
      <c r="C27" s="36" t="s">
        <v>46</v>
      </c>
      <c r="D27" s="36" t="s">
        <v>45</v>
      </c>
      <c r="E27" s="34" t="s">
        <v>86</v>
      </c>
      <c r="F27" s="36" t="s">
        <v>44</v>
      </c>
      <c r="G27" s="36" t="s">
        <v>43</v>
      </c>
      <c r="H27" s="36" t="s">
        <v>98</v>
      </c>
    </row>
    <row r="28" spans="1:8" x14ac:dyDescent="0.35">
      <c r="A28" s="36" t="s">
        <v>48</v>
      </c>
      <c r="B28" s="36" t="s">
        <v>47</v>
      </c>
      <c r="C28" s="34" t="s">
        <v>87</v>
      </c>
      <c r="D28" s="36" t="s">
        <v>46</v>
      </c>
      <c r="E28" s="36" t="s">
        <v>45</v>
      </c>
      <c r="F28" s="34" t="s">
        <v>86</v>
      </c>
      <c r="G28" s="36" t="s">
        <v>44</v>
      </c>
      <c r="H28" s="36" t="s">
        <v>43</v>
      </c>
    </row>
    <row r="29" spans="1:8" x14ac:dyDescent="0.35">
      <c r="A29" s="36" t="s">
        <v>49</v>
      </c>
      <c r="B29" s="36" t="s">
        <v>48</v>
      </c>
      <c r="C29" s="36" t="s">
        <v>47</v>
      </c>
      <c r="D29" s="34" t="s">
        <v>87</v>
      </c>
      <c r="E29" s="36" t="s">
        <v>46</v>
      </c>
      <c r="F29" s="36" t="s">
        <v>45</v>
      </c>
      <c r="G29" s="34" t="s">
        <v>86</v>
      </c>
      <c r="H29" s="36" t="s">
        <v>44</v>
      </c>
    </row>
    <row r="30" spans="1:8" x14ac:dyDescent="0.35">
      <c r="A30" s="36" t="s">
        <v>83</v>
      </c>
      <c r="B30" s="36" t="s">
        <v>49</v>
      </c>
      <c r="C30" s="36" t="s">
        <v>48</v>
      </c>
      <c r="D30" s="36" t="s">
        <v>47</v>
      </c>
      <c r="E30" s="34" t="s">
        <v>87</v>
      </c>
      <c r="F30" s="36" t="s">
        <v>46</v>
      </c>
      <c r="G30" s="36" t="s">
        <v>45</v>
      </c>
      <c r="H30" s="34" t="s">
        <v>86</v>
      </c>
    </row>
    <row r="31" spans="1:8" x14ac:dyDescent="0.35">
      <c r="A31" s="36" t="s">
        <v>50</v>
      </c>
      <c r="B31" s="36" t="s">
        <v>83</v>
      </c>
      <c r="C31" s="36" t="s">
        <v>49</v>
      </c>
      <c r="D31" s="36" t="s">
        <v>48</v>
      </c>
      <c r="E31" s="36" t="s">
        <v>47</v>
      </c>
      <c r="F31" s="34" t="s">
        <v>87</v>
      </c>
      <c r="G31" s="36" t="s">
        <v>46</v>
      </c>
      <c r="H31" s="36" t="s">
        <v>45</v>
      </c>
    </row>
    <row r="32" spans="1:8" x14ac:dyDescent="0.35">
      <c r="A32" s="36" t="s">
        <v>51</v>
      </c>
      <c r="B32" s="36" t="s">
        <v>50</v>
      </c>
      <c r="C32" s="36" t="s">
        <v>83</v>
      </c>
      <c r="D32" s="36" t="s">
        <v>49</v>
      </c>
      <c r="E32" s="36" t="s">
        <v>48</v>
      </c>
      <c r="F32" s="36" t="s">
        <v>47</v>
      </c>
      <c r="G32" s="34" t="s">
        <v>87</v>
      </c>
      <c r="H32" s="36" t="s">
        <v>46</v>
      </c>
    </row>
    <row r="33" spans="1:8" x14ac:dyDescent="0.35">
      <c r="A33" s="36" t="s">
        <v>52</v>
      </c>
      <c r="B33" s="36" t="s">
        <v>51</v>
      </c>
      <c r="C33" s="36" t="s">
        <v>50</v>
      </c>
      <c r="D33" s="36" t="s">
        <v>83</v>
      </c>
      <c r="E33" s="36" t="s">
        <v>49</v>
      </c>
      <c r="F33" s="36" t="s">
        <v>48</v>
      </c>
      <c r="G33" s="36" t="s">
        <v>47</v>
      </c>
      <c r="H33" s="34" t="s">
        <v>87</v>
      </c>
    </row>
    <row r="34" spans="1:8" x14ac:dyDescent="0.35">
      <c r="A34" s="36" t="s">
        <v>63</v>
      </c>
      <c r="B34" s="36" t="s">
        <v>52</v>
      </c>
      <c r="C34" s="36" t="s">
        <v>51</v>
      </c>
      <c r="D34" s="36" t="s">
        <v>50</v>
      </c>
      <c r="E34" s="36" t="s">
        <v>83</v>
      </c>
      <c r="F34" s="36" t="s">
        <v>49</v>
      </c>
      <c r="G34" s="36" t="s">
        <v>48</v>
      </c>
      <c r="H34" s="36" t="s">
        <v>47</v>
      </c>
    </row>
  </sheetData>
  <phoneticPr fontId="9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Roster1</vt:lpstr>
      <vt:lpstr>Update</vt:lpstr>
      <vt:lpstr>Control</vt:lpstr>
      <vt:lpstr>Sunday Turns</vt:lpstr>
      <vt:lpstr>Monday Turns</vt:lpstr>
      <vt:lpstr>Tuesday Turns</vt:lpstr>
      <vt:lpstr>Wednesday Turns</vt:lpstr>
      <vt:lpstr>Thursday Turns</vt:lpstr>
      <vt:lpstr>Friday Turns</vt:lpstr>
      <vt:lpstr>Saturday Turns</vt:lpstr>
      <vt:lpstr>Drivers</vt:lpstr>
      <vt:lpstr>Roster1!Print_Area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 C</cp:lastModifiedBy>
  <cp:lastPrinted>2021-11-18T12:44:51Z</cp:lastPrinted>
  <dcterms:created xsi:type="dcterms:W3CDTF">2019-09-14T21:54:48Z</dcterms:created>
  <dcterms:modified xsi:type="dcterms:W3CDTF">2025-12-07T14:20:22Z</dcterms:modified>
</cp:coreProperties>
</file>